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slicers/slicer1.xml" ContentType="application/vnd.ms-excel.slicer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aulohs\Desktop\"/>
    </mc:Choice>
  </mc:AlternateContent>
  <bookViews>
    <workbookView xWindow="-28920" yWindow="-120" windowWidth="29040" windowHeight="15720" activeTab="1"/>
  </bookViews>
  <sheets>
    <sheet name="Planilha1" sheetId="3" r:id="rId1"/>
    <sheet name="Base Relatório" sheetId="2" r:id="rId2"/>
  </sheets>
  <definedNames>
    <definedName name="DadosExternos_1" localSheetId="1" hidden="1">'Base Relatório'!$B$4:$S$624</definedName>
    <definedName name="SegmentaçãodeDados_Aprovação_Talhao">#N/A</definedName>
    <definedName name="SegmentaçãodeDados_Classe_Stand">#N/A</definedName>
    <definedName name="SegmentaçãodeDados_Conformidade_CV">#N/A</definedName>
    <definedName name="SegmentaçãodeDados_Coordenação">#N/A</definedName>
    <definedName name="SegmentaçãodeDados_Data_Aceite">#N/A</definedName>
    <definedName name="SegmentaçãodeDados_Divulgação_resultado">#N/A</definedName>
    <definedName name="SegmentaçãodeDados_Fazenda">#N/A</definedName>
  </definedNames>
  <calcPr calcId="162913"/>
  <pivotCaches>
    <pivotCache cacheId="1" r:id="rId3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4"/>
        <x14:slicerCache r:id="rId5"/>
        <x14:slicerCache r:id="rId6"/>
        <x14:slicerCache r:id="rId7"/>
        <x14:slicerCache r:id="rId8"/>
        <x14:slicerCache r:id="rId9"/>
        <x14:slicerCache r:id="rId10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5" i="2" l="1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</calcChain>
</file>

<file path=xl/connections.xml><?xml version="1.0" encoding="utf-8"?>
<connections xmlns="http://schemas.openxmlformats.org/spreadsheetml/2006/main">
  <connection id="1" keepAlive="1" name="Consulta - Base Relatório" description="Conexão com a consulta 'Base Relatório' na pasta de trabalho." type="5" refreshedVersion="7" background="1" saveData="1">
    <dbPr connection="Provider=Microsoft.Mashup.OleDb.1;Data Source=$Workbook$;Location=&quot;Base Relatório&quot;;Extended Properties=&quot;&quot;" command="SELECT * FROM [Base Relatório]"/>
  </connection>
</connections>
</file>

<file path=xl/sharedStrings.xml><?xml version="1.0" encoding="utf-8"?>
<sst xmlns="http://schemas.openxmlformats.org/spreadsheetml/2006/main" count="4815" uniqueCount="192">
  <si>
    <t>Aprovação Talhao</t>
  </si>
  <si>
    <t>ID</t>
  </si>
  <si>
    <t>Fazenda</t>
  </si>
  <si>
    <t>TL</t>
  </si>
  <si>
    <t>Plantio</t>
  </si>
  <si>
    <t>Stand (Plantas/ha)</t>
  </si>
  <si>
    <t>Classe CV</t>
  </si>
  <si>
    <t>Classe Stand</t>
  </si>
  <si>
    <t>Conformidade CV</t>
  </si>
  <si>
    <t>Aprovado</t>
  </si>
  <si>
    <t>SANTO ANTONIO CLAÚDIO FRANCO</t>
  </si>
  <si>
    <t>15</t>
  </si>
  <si>
    <t>Multa</t>
  </si>
  <si>
    <t>3</t>
  </si>
  <si>
    <t>38</t>
  </si>
  <si>
    <t>Conforme</t>
  </si>
  <si>
    <t>ÍNDIA</t>
  </si>
  <si>
    <t>1</t>
  </si>
  <si>
    <t>Atenção</t>
  </si>
  <si>
    <t>CANIVETE-RIBAS</t>
  </si>
  <si>
    <t>10</t>
  </si>
  <si>
    <t>Não Avaliado</t>
  </si>
  <si>
    <t>11</t>
  </si>
  <si>
    <t>12</t>
  </si>
  <si>
    <t>13</t>
  </si>
  <si>
    <t>14A</t>
  </si>
  <si>
    <t>17</t>
  </si>
  <si>
    <t>7</t>
  </si>
  <si>
    <t>8</t>
  </si>
  <si>
    <t>9</t>
  </si>
  <si>
    <t>NEVADA GEÓRGIA</t>
  </si>
  <si>
    <t>14</t>
  </si>
  <si>
    <t>16</t>
  </si>
  <si>
    <t>22</t>
  </si>
  <si>
    <t>24</t>
  </si>
  <si>
    <t>25</t>
  </si>
  <si>
    <t>26</t>
  </si>
  <si>
    <t>28</t>
  </si>
  <si>
    <t>29</t>
  </si>
  <si>
    <t>30</t>
  </si>
  <si>
    <t>31</t>
  </si>
  <si>
    <t>33</t>
  </si>
  <si>
    <t>34</t>
  </si>
  <si>
    <t>35</t>
  </si>
  <si>
    <t>36</t>
  </si>
  <si>
    <t>37</t>
  </si>
  <si>
    <t>5</t>
  </si>
  <si>
    <t>BOM RETIRO GLEBAS A2B2</t>
  </si>
  <si>
    <t>15A</t>
  </si>
  <si>
    <t>18</t>
  </si>
  <si>
    <t>18A</t>
  </si>
  <si>
    <t>18B</t>
  </si>
  <si>
    <t>19</t>
  </si>
  <si>
    <t>1A</t>
  </si>
  <si>
    <t>2</t>
  </si>
  <si>
    <t>4</t>
  </si>
  <si>
    <t>6</t>
  </si>
  <si>
    <t>20</t>
  </si>
  <si>
    <t>32</t>
  </si>
  <si>
    <t>41</t>
  </si>
  <si>
    <t>42</t>
  </si>
  <si>
    <t>44</t>
  </si>
  <si>
    <t>46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</si>
  <si>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</si>
  <si>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</si>
  <si>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</si>
  <si>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</si>
  <si>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</si>
  <si>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</si>
  <si>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</si>
  <si>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</si>
  <si>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</si>
  <si>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59</t>
  </si>
  <si>
    <t>63</t>
  </si>
  <si>
    <t>64</t>
  </si>
  <si>
    <t>66</t>
  </si>
  <si>
    <t>67</t>
  </si>
  <si>
    <t>68</t>
  </si>
  <si>
    <t>69</t>
  </si>
  <si>
    <t>70</t>
  </si>
  <si>
    <t>71</t>
  </si>
  <si>
    <t>72</t>
  </si>
  <si>
    <t>GAIVOTA</t>
  </si>
  <si>
    <t>16A</t>
  </si>
  <si>
    <t>21</t>
  </si>
  <si>
    <t>23</t>
  </si>
  <si>
    <t>VÓ ANA</t>
  </si>
  <si>
    <t>BRASÍLIA I</t>
  </si>
  <si>
    <t>BRIOSO</t>
  </si>
  <si>
    <t>43</t>
  </si>
  <si>
    <t>45</t>
  </si>
  <si>
    <t>47</t>
  </si>
  <si>
    <t>48</t>
  </si>
  <si>
    <t>58</t>
  </si>
  <si>
    <t>62</t>
  </si>
  <si>
    <t>63A</t>
  </si>
  <si>
    <t>65</t>
  </si>
  <si>
    <t>LÍBANO</t>
  </si>
  <si>
    <t>BOM RETIRO- GLEBAS A1B1</t>
  </si>
  <si>
    <t>27</t>
  </si>
  <si>
    <t>Reforma</t>
  </si>
  <si>
    <t>39</t>
  </si>
  <si>
    <t>40</t>
  </si>
  <si>
    <t>CREOLINHO I</t>
  </si>
  <si>
    <t>CREOLINHO II III E IV</t>
  </si>
  <si>
    <t>RECANTO-BORTOLETTO</t>
  </si>
  <si>
    <t>2A</t>
  </si>
  <si>
    <t>3A</t>
  </si>
  <si>
    <t>6A</t>
  </si>
  <si>
    <t>7A</t>
  </si>
  <si>
    <t>33A</t>
  </si>
  <si>
    <t>36A</t>
  </si>
  <si>
    <t>SÃO GABRIEL - ROBERTO BARROS</t>
  </si>
  <si>
    <t>SANTA IRACEMA</t>
  </si>
  <si>
    <t>11A</t>
  </si>
  <si>
    <t>SANTA LUZIA - FERNANDO BOMFIM</t>
  </si>
  <si>
    <t>28A</t>
  </si>
  <si>
    <t>FORMOSO</t>
  </si>
  <si>
    <t>SANTA RITA MATTOS</t>
  </si>
  <si>
    <t>VITORIA VEDUVOTO</t>
  </si>
  <si>
    <t>CORREGO DO OURO</t>
  </si>
  <si>
    <t>SANTA NENA</t>
  </si>
  <si>
    <t>SANTA TEREZINHA 1 - WILSON</t>
  </si>
  <si>
    <t>Reprovado</t>
  </si>
  <si>
    <t>Divulgação resultado</t>
  </si>
  <si>
    <t>Coordenação</t>
  </si>
  <si>
    <t>Coordenação 01</t>
  </si>
  <si>
    <t>Coordenação 04</t>
  </si>
  <si>
    <t>Coordenação 02</t>
  </si>
  <si>
    <t>Área (ha)</t>
  </si>
  <si>
    <t>Área Pós Plantio (ha)</t>
  </si>
  <si>
    <t>CV%</t>
  </si>
  <si>
    <t>Data Aceite</t>
  </si>
  <si>
    <t>Total Geral</t>
  </si>
  <si>
    <t>Rótulos de Coluna</t>
  </si>
  <si>
    <t>Soma de Área (ha)</t>
  </si>
  <si>
    <t>(Vários itens)</t>
  </si>
  <si>
    <t>Nº TL</t>
  </si>
  <si>
    <t xml:space="preserve"> Área (ha)</t>
  </si>
  <si>
    <t>61A</t>
  </si>
  <si>
    <t>60A</t>
  </si>
  <si>
    <t>79</t>
  </si>
  <si>
    <t>78</t>
  </si>
  <si>
    <t>80</t>
  </si>
  <si>
    <t>70A</t>
  </si>
  <si>
    <t>81</t>
  </si>
  <si>
    <t>29A</t>
  </si>
  <si>
    <t>25A</t>
  </si>
  <si>
    <t>SÃO JOSÉ-AGNAR</t>
  </si>
  <si>
    <t>SANTA MARIA-CALÇAS</t>
  </si>
  <si>
    <t>32A</t>
  </si>
  <si>
    <t>SANTO IVO</t>
  </si>
  <si>
    <t>15B</t>
  </si>
  <si>
    <t>13A</t>
  </si>
  <si>
    <t>SÃO PEDRO – GABRIEL GARCIA</t>
  </si>
  <si>
    <t>ALVORADA-PRADO</t>
  </si>
  <si>
    <t>15 - 20%</t>
  </si>
  <si>
    <t>20 - 25%</t>
  </si>
  <si>
    <t>Ad. Reforço</t>
  </si>
  <si>
    <t>25 - 30%</t>
  </si>
  <si>
    <t>10 - 15%</t>
  </si>
  <si>
    <t>30 - 35%</t>
  </si>
  <si>
    <t>35 - 40%</t>
  </si>
  <si>
    <t>&gt; 40%</t>
  </si>
  <si>
    <t>76</t>
  </si>
  <si>
    <t>77</t>
  </si>
  <si>
    <t>82</t>
  </si>
  <si>
    <t>83A</t>
  </si>
  <si>
    <t>30A</t>
  </si>
  <si>
    <t>4A</t>
  </si>
  <si>
    <t>9A</t>
  </si>
  <si>
    <t>10A</t>
  </si>
  <si>
    <t>34A</t>
  </si>
  <si>
    <t>BONFIM</t>
  </si>
  <si>
    <t>9D</t>
  </si>
  <si>
    <t>12A</t>
  </si>
  <si>
    <t>INDIANA II</t>
  </si>
  <si>
    <t>61</t>
  </si>
  <si>
    <t>SANTA ADÉLIA III</t>
  </si>
  <si>
    <t>TRÊS IRMÃO - EILY</t>
  </si>
  <si>
    <t>800-900</t>
  </si>
  <si>
    <t>900-1000</t>
  </si>
  <si>
    <t>1000-1100</t>
  </si>
  <si>
    <t>1100-1200</t>
  </si>
  <si>
    <t>1200-1300</t>
  </si>
  <si>
    <t>5 - 10%</t>
  </si>
  <si>
    <t>Previsão Aceite</t>
  </si>
  <si>
    <t>Rótulos de Linha</t>
  </si>
  <si>
    <t>Staus Aceite</t>
  </si>
  <si>
    <t>No Prazo</t>
  </si>
  <si>
    <t>Atrasado</t>
  </si>
  <si>
    <t>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</si>
</sst>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#,##0_ ;\-#,##0\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164" fontId="3" fillId="0" borderId="0" xfId="1" applyNumberFormat="1" applyFont="1" applyAlignment="1">
      <alignment horizontal="center"/>
    </xf>
    <xf numFmtId="9" fontId="3" fillId="0" borderId="0" xfId="2" applyFont="1" applyAlignment="1">
      <alignment horizontal="center"/>
    </xf>
    <xf numFmtId="0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0" fillId="0" borderId="0" xfId="0" applyNumberFormat="1"/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" fontId="3" fillId="0" borderId="0" xfId="0" applyNumberFormat="1" applyFont="1" applyAlignment="1">
      <alignment horizontal="center"/>
    </xf>
  </cellXfs>
  <cellStyles count="3">
    <cellStyle name="Normal" xfId="0" builtinId="0"/>
    <cellStyle name="Porcentagem" xfId="2" builtinId="5"/>
    <cellStyle name="Vírgula" xfId="1" builtinId="3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164" formatCode="#,##0_ ;\-#,##0\ 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bottom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5.xml"/><Relationship Id="rId13" Type="http://schemas.openxmlformats.org/officeDocument/2006/relationships/styles" Target="styles.xml"/><Relationship Id="rId3" Type="http://schemas.openxmlformats.org/officeDocument/2006/relationships/pivotCacheDefinition" Target="pivotCache/pivotCacheDefinition1.xml"/><Relationship Id="rId7" Type="http://schemas.microsoft.com/office/2007/relationships/slicerCache" Target="slicerCaches/slicerCache4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microsoft.com/office/2007/relationships/slicerCache" Target="slicerCaches/slicerCache3.xml"/><Relationship Id="rId11" Type="http://schemas.openxmlformats.org/officeDocument/2006/relationships/theme" Target="theme/theme1.xml"/><Relationship Id="rId5" Type="http://schemas.microsoft.com/office/2007/relationships/slicerCache" Target="slicerCaches/slicerCache2.xml"/><Relationship Id="rId15" Type="http://schemas.openxmlformats.org/officeDocument/2006/relationships/calcChain" Target="calcChain.xml"/><Relationship Id="rId10" Type="http://schemas.microsoft.com/office/2007/relationships/slicerCache" Target="slicerCaches/slicerCache7.xml"/><Relationship Id="rId4" Type="http://schemas.microsoft.com/office/2007/relationships/slicerCache" Target="slicerCaches/slicerCache1.xml"/><Relationship Id="rId9" Type="http://schemas.microsoft.com/office/2007/relationships/slicerCache" Target="slicerCaches/slicerCache6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0</xdr:row>
      <xdr:rowOff>73322</xdr:rowOff>
    </xdr:from>
    <xdr:to>
      <xdr:col>16</xdr:col>
      <xdr:colOff>68717</xdr:colOff>
      <xdr:row>1</xdr:row>
      <xdr:rowOff>22221</xdr:rowOff>
    </xdr:to>
    <xdr:grpSp>
      <xdr:nvGrpSpPr>
        <xdr:cNvPr id="6" name="Agrupar 5">
          <a:extLst>
            <a:ext uri="{FF2B5EF4-FFF2-40B4-BE49-F238E27FC236}">
              <a16:creationId xmlns:a16="http://schemas.microsoft.com/office/drawing/2014/main" id="{6E97BFD3-6736-4331-ACDF-82BD857C1566}"/>
            </a:ext>
          </a:extLst>
        </xdr:cNvPr>
        <xdr:cNvGrpSpPr/>
      </xdr:nvGrpSpPr>
      <xdr:grpSpPr>
        <a:xfrm>
          <a:off x="279977" y="73322"/>
          <a:ext cx="27532467" cy="1299717"/>
          <a:chOff x="272143" y="73322"/>
          <a:chExt cx="18819360" cy="1296006"/>
        </a:xfrm>
      </xdr:grpSpPr>
      <mc:AlternateContent xmlns:mc="http://schemas.openxmlformats.org/markup-compatibility/2006" xmlns:sle15="http://schemas.microsoft.com/office/drawing/2012/slicer">
        <mc:Choice Requires="sle15">
          <xdr:graphicFrame macro="">
            <xdr:nvGraphicFramePr>
              <xdr:cNvPr id="2" name="Aprovação Talhao">
                <a:extLst>
                  <a:ext uri="{FF2B5EF4-FFF2-40B4-BE49-F238E27FC236}">
                    <a16:creationId xmlns:a16="http://schemas.microsoft.com/office/drawing/2014/main" id="{AF517EF5-63C9-4521-B79E-FD64D001F935}"/>
                  </a:ext>
                </a:extLst>
              </xdr:cNvPr>
              <xdr:cNvGraphicFramePr/>
            </xdr:nvGraphicFramePr>
            <xdr:xfrm>
              <a:off x="272143" y="77121"/>
              <a:ext cx="2016110" cy="1290296"/>
            </xdr:xfrm>
            <a:graphic>
              <a:graphicData uri="http://schemas.microsoft.com/office/drawing/2010/slicer">
                <sle:slicer xmlns:sle="http://schemas.microsoft.com/office/drawing/2010/slicer" name="Aprovação Talhao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268333" y="77110"/>
                <a:ext cx="2016314" cy="1286503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  </a:r>
              </a:p>
            </xdr:txBody>
          </xdr:sp>
        </mc:Fallback>
      </mc:AlternateContent>
      <mc:AlternateContent xmlns:mc="http://schemas.openxmlformats.org/markup-compatibility/2006" xmlns:sle15="http://schemas.microsoft.com/office/drawing/2012/slicer">
        <mc:Choice Requires="sle15">
          <xdr:graphicFrame macro="">
            <xdr:nvGraphicFramePr>
              <xdr:cNvPr id="3" name="Fazenda">
                <a:extLst>
                  <a:ext uri="{FF2B5EF4-FFF2-40B4-BE49-F238E27FC236}">
                    <a16:creationId xmlns:a16="http://schemas.microsoft.com/office/drawing/2014/main" id="{B096A6E1-9A31-471E-A92E-7DDE311A3550}"/>
                  </a:ext>
                </a:extLst>
              </xdr:cNvPr>
              <xdr:cNvGraphicFramePr/>
            </xdr:nvGraphicFramePr>
            <xdr:xfrm>
              <a:off x="2390972" y="73322"/>
              <a:ext cx="5260331" cy="1296006"/>
            </xdr:xfrm>
            <a:graphic>
              <a:graphicData uri="http://schemas.microsoft.com/office/drawing/2010/slicer">
                <sle:slicer xmlns:sle="http://schemas.microsoft.com/office/drawing/2010/slicer" name="Fazenda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2387376" y="73322"/>
                <a:ext cx="5260863" cy="1292196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  </a:r>
              </a:p>
            </xdr:txBody>
          </xdr:sp>
        </mc:Fallback>
      </mc:AlternateContent>
      <mc:AlternateContent xmlns:mc="http://schemas.openxmlformats.org/markup-compatibility/2006" xmlns:sle15="http://schemas.microsoft.com/office/drawing/2012/slicer">
        <mc:Choice Requires="sle15">
          <xdr:graphicFrame macro="">
            <xdr:nvGraphicFramePr>
              <xdr:cNvPr id="4" name="Conformidade CV">
                <a:extLst>
                  <a:ext uri="{FF2B5EF4-FFF2-40B4-BE49-F238E27FC236}">
                    <a16:creationId xmlns:a16="http://schemas.microsoft.com/office/drawing/2014/main" id="{F1763D90-4A9C-4EB7-90D2-45033C088422}"/>
                  </a:ext>
                </a:extLst>
              </xdr:cNvPr>
              <xdr:cNvGraphicFramePr/>
            </xdr:nvGraphicFramePr>
            <xdr:xfrm>
              <a:off x="7748307" y="77121"/>
              <a:ext cx="2644533" cy="1286486"/>
            </xdr:xfrm>
            <a:graphic>
              <a:graphicData uri="http://schemas.microsoft.com/office/drawing/2010/slicer">
                <sle:slicer xmlns:sle="http://schemas.microsoft.com/office/drawing/2010/slicer" name="Conformidade CV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7745254" y="77110"/>
                <a:ext cx="2644801" cy="1282704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  </a:r>
              </a:p>
            </xdr:txBody>
          </xdr:sp>
        </mc:Fallback>
      </mc:AlternateContent>
      <mc:AlternateContent xmlns:mc="http://schemas.openxmlformats.org/markup-compatibility/2006" xmlns:sle15="http://schemas.microsoft.com/office/drawing/2012/slicer">
        <mc:Choice Requires="sle15">
          <xdr:graphicFrame macro="">
            <xdr:nvGraphicFramePr>
              <xdr:cNvPr id="5" name="Coordenação">
                <a:extLst>
                  <a:ext uri="{FF2B5EF4-FFF2-40B4-BE49-F238E27FC236}">
                    <a16:creationId xmlns:a16="http://schemas.microsoft.com/office/drawing/2014/main" id="{9948EF62-FC9B-493C-89FC-F51C6CBAB877}"/>
                  </a:ext>
                </a:extLst>
              </xdr:cNvPr>
              <xdr:cNvGraphicFramePr/>
            </xdr:nvGraphicFramePr>
            <xdr:xfrm>
              <a:off x="10499369" y="95644"/>
              <a:ext cx="1571924" cy="1254838"/>
            </xdr:xfrm>
            <a:graphic>
              <a:graphicData uri="http://schemas.microsoft.com/office/drawing/2010/slicer">
                <sle:slicer xmlns:sle="http://schemas.microsoft.com/office/drawing/2010/slicer" name="Coordenação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0496594" y="95578"/>
                <a:ext cx="1572083" cy="1251149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  </a:r>
              </a:p>
            </xdr:txBody>
          </xdr:sp>
        </mc:Fallback>
      </mc:AlternateContent>
      <mc:AlternateContent xmlns:mc="http://schemas.openxmlformats.org/markup-compatibility/2006" xmlns:sle15="http://schemas.microsoft.com/office/drawing/2012/slicer">
        <mc:Choice Requires="sle15">
          <xdr:graphicFrame macro="">
            <xdr:nvGraphicFramePr>
              <xdr:cNvPr id="11" name="Classe Stand">
                <a:extLst>
                  <a:ext uri="{FF2B5EF4-FFF2-40B4-BE49-F238E27FC236}">
                    <a16:creationId xmlns:a16="http://schemas.microsoft.com/office/drawing/2014/main" id="{385B3066-938B-4C9B-90C1-115D56D5461F}"/>
                  </a:ext>
                </a:extLst>
              </xdr:cNvPr>
              <xdr:cNvGraphicFramePr/>
            </xdr:nvGraphicFramePr>
            <xdr:xfrm>
              <a:off x="12168297" y="73322"/>
              <a:ext cx="2118856" cy="1296006"/>
            </xdr:xfrm>
            <a:graphic>
              <a:graphicData uri="http://schemas.microsoft.com/office/drawing/2010/slicer">
                <sle:slicer xmlns:sle="http://schemas.microsoft.com/office/drawing/2010/slicer" name="Classe Stand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2165691" y="73322"/>
                <a:ext cx="2119070" cy="1292196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  </a:r>
              </a:p>
            </xdr:txBody>
          </xdr:sp>
        </mc:Fallback>
      </mc:AlternateContent>
      <mc:AlternateContent xmlns:mc="http://schemas.openxmlformats.org/markup-compatibility/2006" xmlns:sle15="http://schemas.microsoft.com/office/drawing/2012/slicer">
        <mc:Choice Requires="sle15">
          <xdr:graphicFrame macro="">
            <xdr:nvGraphicFramePr>
              <xdr:cNvPr id="7" name="Divulgação resultado">
                <a:extLst>
                  <a:ext uri="{FF2B5EF4-FFF2-40B4-BE49-F238E27FC236}">
                    <a16:creationId xmlns:a16="http://schemas.microsoft.com/office/drawing/2014/main" id="{169C4519-778F-458B-8502-5D6CF05AA132}"/>
                  </a:ext>
                </a:extLst>
              </xdr:cNvPr>
              <xdr:cNvGraphicFramePr/>
            </xdr:nvGraphicFramePr>
            <xdr:xfrm>
              <a:off x="16774168" y="77121"/>
              <a:ext cx="2317335" cy="1286486"/>
            </xdr:xfrm>
            <a:graphic>
              <a:graphicData uri="http://schemas.microsoft.com/office/drawing/2010/slicer">
                <sle:slicer xmlns:sle="http://schemas.microsoft.com/office/drawing/2010/slicer" name="Divulgação resultado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6772028" y="77110"/>
                <a:ext cx="2317570" cy="1282704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  </a:r>
              </a:p>
            </xdr:txBody>
          </xdr:sp>
        </mc:Fallback>
      </mc:AlternateContent>
      <mc:AlternateContent xmlns:mc="http://schemas.openxmlformats.org/markup-compatibility/2006" xmlns:sle15="http://schemas.microsoft.com/office/drawing/2012/slicer">
        <mc:Choice Requires="sle15">
          <xdr:graphicFrame macro="">
            <xdr:nvGraphicFramePr>
              <xdr:cNvPr id="9" name="Data Aceite">
                <a:extLst>
                  <a:ext uri="{FF2B5EF4-FFF2-40B4-BE49-F238E27FC236}">
                    <a16:creationId xmlns:a16="http://schemas.microsoft.com/office/drawing/2014/main" id="{0BBE6F2F-6D6A-4855-9639-202CAC60D112}"/>
                  </a:ext>
                </a:extLst>
              </xdr:cNvPr>
              <xdr:cNvGraphicFramePr/>
            </xdr:nvGraphicFramePr>
            <xdr:xfrm>
              <a:off x="14384157" y="73322"/>
              <a:ext cx="2291100" cy="1292196"/>
            </xdr:xfrm>
            <a:graphic>
              <a:graphicData uri="http://schemas.microsoft.com/office/drawing/2010/slicer">
                <sle:slicer xmlns:sle="http://schemas.microsoft.com/office/drawing/2010/slicer" name="Data Aceite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4381775" y="73322"/>
                <a:ext cx="2291332" cy="1288397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  </a:r>
              </a:p>
            </xdr:txBody>
          </xdr:sp>
        </mc:Fallback>
      </mc:AlternateContent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ose Pereira de Carvalho Neto" refreshedDate="46237.466200925926" createdVersion="7" refreshedVersion="7" minRefreshableVersion="3" recordCount="620">
  <cacheSource type="worksheet">
    <worksheetSource name="Base_Relatório"/>
  </cacheSource>
  <cacheFields count="16">
    <cacheField name="Aprovação Talhao" numFmtId="0">
      <sharedItems containsBlank="1" count="4">
        <s v="Aprovado"/>
        <s v="Não Avaliado"/>
        <s v="Reprovado"/>
        <m/>
      </sharedItems>
    </cacheField>
    <cacheField name="ID" numFmtId="0">
      <sharedItems containsString="0" containsBlank="1" containsNumber="1" containsInteger="1" minValue="55" maxValue="784"/>
    </cacheField>
    <cacheField name="Fazenda" numFmtId="0">
      <sharedItems containsBlank="1"/>
    </cacheField>
    <cacheField name="TL" numFmtId="0">
      <sharedItems containsBlank="1"/>
    </cacheField>
    <cacheField name="Área (ha)" numFmtId="2">
      <sharedItems containsString="0" containsBlank="1" containsNumber="1" minValue="1.79" maxValue="75.7"/>
    </cacheField>
    <cacheField name="Área Pós Plantio (ha)" numFmtId="0">
      <sharedItems containsString="0" containsBlank="1" containsNumber="1" minValue="1.28" maxValue="72.87"/>
    </cacheField>
    <cacheField name="Plantio" numFmtId="14">
      <sharedItems containsNonDate="0" containsDate="1" containsString="0" containsBlank="1" minDate="2025-11-18T00:00:00" maxDate="2026-06-16T00:00:00"/>
    </cacheField>
    <cacheField name="Data Aceite" numFmtId="14">
      <sharedItems containsNonDate="0" containsDate="1" containsString="0" containsBlank="1" minDate="2026-05-12T00:00:00" maxDate="2026-07-30T00:00:00"/>
    </cacheField>
    <cacheField name="Previsão Aceite" numFmtId="14">
      <sharedItems containsNonDate="0" containsDate="1" containsString="0" containsBlank="1" minDate="2026-03-25T00:00:00" maxDate="2026-10-14T00:00:00"/>
    </cacheField>
    <cacheField name="Stand (Plantas/ha)" numFmtId="164">
      <sharedItems containsString="0" containsBlank="1" containsNumber="1" minValue="819.64285714285711" maxValue="1252.7777777777778" count="217">
        <n v="1127.0833333333333"/>
        <n v="950"/>
        <n v="1079.1666666666667"/>
        <n v="1071.875"/>
        <n v="1121.1538461538462"/>
        <n v="1107.1428571428571"/>
        <n v="1082.5"/>
        <n v="1077.5"/>
        <n v="1068.75"/>
        <n v="1078.409090909091"/>
        <n v="1158.9285714285713"/>
        <n v="1000"/>
        <n v="1078.5714285714287"/>
        <n v="1100"/>
        <n v="1053.3333333333333"/>
        <n v="991.66666666666663"/>
        <n v="1066.6666666666667"/>
        <n v="1004.5454545454545"/>
        <n v="1080.8823529411766"/>
        <n v="1146.875"/>
        <n v="1050"/>
        <n v="1154.5454545454545"/>
        <n v="1139.4736842105262"/>
        <n v="1125"/>
        <n v="1133.3333333333333"/>
        <n v="1129.4117647058824"/>
        <n v="1023.0769230769231"/>
        <n v="943.75"/>
        <n v="1145.4545454545455"/>
        <n v="1140.625"/>
        <n v="1119.1176470588234"/>
        <n v="1168.75"/>
        <n v="1109.090909090909"/>
        <n v="1147.2222222222222"/>
        <n v="1132.1428571428571"/>
        <n v="1181.25"/>
        <n v="1190.909090909091"/>
        <n v="1102.2727272727273"/>
        <n v="1147.5"/>
        <n v="1170"/>
        <n v="1121.4285714285713"/>
        <n v="1021.875"/>
        <n v="1153.125"/>
        <n v="1129.5454545454545"/>
        <n v="1160.4166666666667"/>
        <n v="1006.6666666666666"/>
        <n v="1112.5"/>
        <n v="1025"/>
        <n v="1114.2857142857142"/>
        <n v="1077.0833333333333"/>
        <n v="1010.5263157894736"/>
        <n v="1060.7142857142858"/>
        <n v="1137.962962962963"/>
        <n v="1172.5"/>
        <n v="1130.5555555555557"/>
        <n v="1031.8181818181818"/>
        <n v="1181.9444444444443"/>
        <n v="1122.5"/>
        <n v="1091.1764705882354"/>
        <n v="1063.3333333333333"/>
        <n v="1040"/>
        <n v="1120"/>
        <n v="1012.5"/>
        <n v="1213.4615384615386"/>
        <n v="1116.6666666666667"/>
        <n v="1186.5384615384614"/>
        <n v="1185.2941176470588"/>
        <n v="1113.2352941176471"/>
        <n v="1097.5"/>
        <n v="1060.2941176470588"/>
        <n v="1105"/>
        <n v="1021.0526315789474"/>
        <n v="1094.6428571428571"/>
        <n v="1013.3333333333334"/>
        <n v="973.33333333333337"/>
        <n v="1005"/>
        <n v="1036.5384615384614"/>
        <n v="1048.5294117647059"/>
        <n v="1109.375"/>
        <n v="990.38461538461536"/>
        <n v="1010.9375"/>
        <n v="1086.7647058823529"/>
        <n v="1082.3529411764705"/>
        <n v="1093.3333333333333"/>
        <n v="1044.2307692307693"/>
        <n v="992.64705882352939"/>
        <n v="1030.7692307692307"/>
        <n v="1015.625"/>
        <n v="1081.8181818181818"/>
        <n v="1008.8235294117648"/>
        <n v="1078.8461538461538"/>
        <n v="1060"/>
        <n v="956.57894736842104"/>
        <n v="1035"/>
        <n v="965"/>
        <n v="1044.7368421052631"/>
        <n v="1026.5625"/>
        <n v="1033.9285714285713"/>
        <n v="1075"/>
        <n v="995"/>
        <n v="1007.3529411764706"/>
        <n v="947.22222222222217"/>
        <n v="975"/>
        <n v="1061.3636363636363"/>
        <n v="1051.7857142857142"/>
        <n v="1095.8333333333333"/>
        <n v="1054.6334342560554"/>
        <n v="1108.3333333333333"/>
        <n v="1118.75"/>
        <n v="1115.2777777777776"/>
        <n v="1135"/>
        <n v="1143.75"/>
        <n v="1191.6666666666667"/>
        <n v="1141.6666666666667"/>
        <n v="1158.3333333333333"/>
        <n v="1150"/>
        <n v="1193.75"/>
        <n v="1166.6666666666667"/>
        <n v="1175"/>
        <n v="1090"/>
        <n v="1162.5"/>
        <n v="1083.3333333333333"/>
        <n v="1131.25"/>
        <n v="1122.2222222222222"/>
        <m/>
        <n v="1120.8333333333333"/>
        <n v="1127.2727272727273"/>
        <n v="1110.7142857142858"/>
        <n v="1179.1666666666667"/>
        <n v="1156.25"/>
        <n v="1183.3333333333333"/>
        <n v="1153.5714285714287"/>
        <n v="1135.4166666666667"/>
        <n v="1155"/>
        <n v="1091.6666666666667"/>
        <n v="1140"/>
        <n v="1221.4285714285713"/>
        <n v="1126.4705882352941"/>
        <n v="1076.25"/>
        <n v="1080.952380952381"/>
        <n v="994.23076923076928"/>
        <n v="1048.4375"/>
        <n v="819.64285714285711"/>
        <n v="1032.1428571428571"/>
        <n v="1070.8333333333333"/>
        <n v="1091.0714285714287"/>
        <n v="971.875"/>
        <n v="927.5"/>
        <n v="1064.7058823529412"/>
        <n v="1078.3333333333333"/>
        <n v="1154.4117647058824"/>
        <n v="1105.8823529411766"/>
        <n v="1130.3571428571429"/>
        <n v="1168.421052631579"/>
        <n v="1076.7857142857142"/>
        <n v="1101.9230769230769"/>
        <n v="1013.1578947368421"/>
        <n v="1159.090909090909"/>
        <n v="1160"/>
        <n v="968.75"/>
        <n v="1245"/>
        <n v="1137.5"/>
        <n v="1200"/>
        <n v="1144.4444444444443"/>
        <n v="1118.421052631579"/>
        <n v="1185"/>
        <n v="1130"/>
        <n v="1047.2222222222222"/>
        <n v="1037.5"/>
        <n v="1072.0588235294117"/>
        <n v="1035.7142857142858"/>
        <n v="1081.9444444444443"/>
        <n v="1062.5"/>
        <n v="995.3125"/>
        <n v="1029.6875"/>
        <n v="1009.0909090909091"/>
        <n v="1033.3333333333333"/>
        <n v="1072.5"/>
        <n v="1063.4615384615386"/>
        <n v="1026.7857142857142"/>
        <n v="1030.8823529411766"/>
        <n v="993.18181818181813"/>
        <n v="1064.5833333333333"/>
        <n v="997.91666666666663"/>
        <n v="1058.8235294117646"/>
        <n v="1127.5"/>
        <n v="1020.8333333333334"/>
        <n v="1059.090909090909"/>
        <n v="1055"/>
        <n v="1018.3333333333334"/>
        <n v="996.42857142857144"/>
        <n v="1056.25"/>
        <n v="1164.2857142857142"/>
        <n v="1128.3893557422969"/>
        <n v="966.66666666666663"/>
        <n v="1092.8571428571429"/>
        <n v="1147.3684210526317"/>
        <n v="1155.5555555555557"/>
        <n v="1128.5714285714287"/>
        <n v="1097"/>
        <n v="1166.0714285714287"/>
        <n v="1170.4545454545455"/>
        <n v="1154.1666666666667"/>
        <n v="1105.3571428571429"/>
        <n v="1106.6666666666667"/>
        <n v="1117.5"/>
        <n v="971.66666666666663"/>
        <n v="1065.625"/>
        <n v="1052.0833333333333"/>
        <n v="1028.5714285714287"/>
        <n v="1008.3333333333334"/>
        <n v="985"/>
        <n v="912.5"/>
        <n v="1117.6470588235295"/>
        <n v="1079.7619047619048"/>
        <n v="1252.7777777777778"/>
        <n v="1065"/>
      </sharedItems>
      <fieldGroup base="9">
        <rangePr autoStart="0" autoEnd="0" startNum="800" endNum="1300" groupInterval="100"/>
        <groupItems count="7">
          <s v="&lt;800 ou (vazio)"/>
          <s v="800-900"/>
          <s v="900-1000"/>
          <s v="1000-1100"/>
          <s v="1100-1200"/>
          <s v="1200-1300"/>
          <s v="&gt;1300"/>
        </groupItems>
      </fieldGroup>
    </cacheField>
    <cacheField name="CV%" numFmtId="9">
      <sharedItems containsString="0" containsBlank="1" containsNumber="1" minValue="8.6791664403174318E-2" maxValue="0.49099861055226868"/>
    </cacheField>
    <cacheField name="Classe CV" numFmtId="0">
      <sharedItems containsBlank="1" count="10">
        <s v="15 - 20%"/>
        <s v="20 - 25%"/>
        <s v="25 - 30%"/>
        <s v="30 - 35%"/>
        <s v="10 - 15%"/>
        <s v="35 - 40%"/>
        <s v="Não Avaliado"/>
        <s v="5 - 10%"/>
        <s v="&gt; 40%"/>
        <m/>
      </sharedItems>
    </cacheField>
    <cacheField name="Classe Stand" numFmtId="0">
      <sharedItems containsBlank="1" count="6">
        <s v="Aprovado"/>
        <s v="Multa"/>
        <s v="Atenção"/>
        <s v="Não Avaliado"/>
        <s v="Reforma"/>
        <m/>
      </sharedItems>
    </cacheField>
    <cacheField name="Conformidade CV" numFmtId="0">
      <sharedItems containsBlank="1" count="5">
        <s v="Conforme"/>
        <s v="Ad. Reforço"/>
        <s v="Não Avaliado"/>
        <s v="Reforma"/>
        <m/>
      </sharedItems>
    </cacheField>
    <cacheField name="Divulgação resultado" numFmtId="14">
      <sharedItems containsNonDate="0" containsDate="1" containsString="0" containsBlank="1" minDate="2026-06-10T00:00:00" maxDate="2026-07-31T00:00:00"/>
    </cacheField>
    <cacheField name="Coordenação" numFmtId="0">
      <sharedItems containsBlank="1" count="4">
        <s v="Coordenação 01"/>
        <s v="Coordenação 04"/>
        <s v="Coordenação 02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0">
  <r>
    <x v="0"/>
    <n v="134"/>
    <s v="NEVADA GEÓRGIA"/>
    <s v="1"/>
    <n v="31.33"/>
    <n v="31.18"/>
    <d v="2026-01-13T00:00:00"/>
    <d v="2026-06-03T00:00:00"/>
    <m/>
    <x v="0"/>
    <n v="0.15717803810251627"/>
    <x v="0"/>
    <x v="0"/>
    <x v="0"/>
    <d v="2026-06-10T00:00:00"/>
    <x v="0"/>
  </r>
  <r>
    <x v="0"/>
    <n v="134"/>
    <s v="NEVADA GEÓRGIA"/>
    <s v="10"/>
    <n v="9.09"/>
    <n v="8.6"/>
    <d v="2026-01-21T00:00:00"/>
    <d v="2026-07-03T00:00:00"/>
    <m/>
    <x v="1"/>
    <n v="0.20974888569089686"/>
    <x v="1"/>
    <x v="1"/>
    <x v="1"/>
    <d v="2026-07-06T00:00:00"/>
    <x v="0"/>
  </r>
  <r>
    <x v="0"/>
    <n v="134"/>
    <s v="NEVADA GEÓRGIA"/>
    <s v="12"/>
    <n v="14.55"/>
    <n v="14.61"/>
    <d v="2026-01-23T00:00:00"/>
    <d v="2026-07-03T00:00:00"/>
    <m/>
    <x v="2"/>
    <n v="0.20880140775206668"/>
    <x v="1"/>
    <x v="1"/>
    <x v="1"/>
    <d v="2026-07-06T00:00:00"/>
    <x v="0"/>
  </r>
  <r>
    <x v="0"/>
    <n v="134"/>
    <s v="NEVADA GEÓRGIA"/>
    <s v="14"/>
    <n v="22.11"/>
    <n v="21.92"/>
    <d v="2026-01-27T00:00:00"/>
    <d v="2026-07-03T00:00:00"/>
    <m/>
    <x v="3"/>
    <n v="0.22182429664832362"/>
    <x v="1"/>
    <x v="1"/>
    <x v="1"/>
    <d v="2026-07-06T00:00:00"/>
    <x v="0"/>
  </r>
  <r>
    <x v="0"/>
    <n v="134"/>
    <s v="NEVADA GEÓRGIA"/>
    <s v="15"/>
    <n v="35.36"/>
    <n v="34.590000000000003"/>
    <d v="2026-02-01T00:00:00"/>
    <d v="2026-07-03T00:00:00"/>
    <m/>
    <x v="4"/>
    <n v="0.2164678784139544"/>
    <x v="1"/>
    <x v="0"/>
    <x v="1"/>
    <d v="2026-07-06T00:00:00"/>
    <x v="0"/>
  </r>
  <r>
    <x v="0"/>
    <n v="134"/>
    <s v="NEVADA GEÓRGIA"/>
    <s v="2"/>
    <n v="20.399999999999999"/>
    <n v="20.77"/>
    <d v="2026-01-10T00:00:00"/>
    <d v="2026-06-03T00:00:00"/>
    <m/>
    <x v="5"/>
    <n v="0.22090435366512243"/>
    <x v="1"/>
    <x v="0"/>
    <x v="1"/>
    <d v="2026-06-10T00:00:00"/>
    <x v="0"/>
  </r>
  <r>
    <x v="0"/>
    <n v="134"/>
    <s v="NEVADA GEÓRGIA"/>
    <s v="3"/>
    <n v="30.05"/>
    <n v="30.42"/>
    <d v="2026-01-08T00:00:00"/>
    <d v="2026-06-03T00:00:00"/>
    <m/>
    <x v="6"/>
    <n v="0.15993436247196971"/>
    <x v="0"/>
    <x v="1"/>
    <x v="0"/>
    <d v="2026-06-10T00:00:00"/>
    <x v="0"/>
  </r>
  <r>
    <x v="0"/>
    <n v="134"/>
    <s v="NEVADA GEÓRGIA"/>
    <s v="4"/>
    <n v="29.56"/>
    <n v="30.63"/>
    <d v="2026-01-06T00:00:00"/>
    <d v="2026-06-03T00:00:00"/>
    <m/>
    <x v="7"/>
    <n v="0.16722259391095423"/>
    <x v="0"/>
    <x v="1"/>
    <x v="0"/>
    <d v="2026-06-10T00:00:00"/>
    <x v="0"/>
  </r>
  <r>
    <x v="0"/>
    <n v="134"/>
    <s v="NEVADA GEÓRGIA"/>
    <s v="5"/>
    <n v="25.3"/>
    <n v="30.34"/>
    <d v="2026-01-21T00:00:00"/>
    <d v="2026-06-03T00:00:00"/>
    <m/>
    <x v="8"/>
    <n v="0.15259069660280702"/>
    <x v="0"/>
    <x v="1"/>
    <x v="0"/>
    <d v="2026-06-10T00:00:00"/>
    <x v="0"/>
  </r>
  <r>
    <x v="0"/>
    <n v="134"/>
    <s v="NEVADA GEÓRGIA"/>
    <s v="7"/>
    <n v="60.49"/>
    <n v="60.12"/>
    <d v="2026-01-16T00:00:00"/>
    <d v="2026-07-03T00:00:00"/>
    <m/>
    <x v="9"/>
    <n v="0.17071408183058498"/>
    <x v="0"/>
    <x v="1"/>
    <x v="0"/>
    <d v="2026-07-06T00:00:00"/>
    <x v="0"/>
  </r>
  <r>
    <x v="0"/>
    <n v="134"/>
    <s v="NEVADA GEÓRGIA"/>
    <s v="8"/>
    <n v="42.18"/>
    <n v="42.79"/>
    <d v="2026-01-19T00:00:00"/>
    <d v="2026-07-03T00:00:00"/>
    <m/>
    <x v="10"/>
    <n v="0.19415379964211202"/>
    <x v="0"/>
    <x v="0"/>
    <x v="0"/>
    <d v="2026-07-06T00:00:00"/>
    <x v="0"/>
  </r>
  <r>
    <x v="0"/>
    <n v="134"/>
    <s v="NEVADA GEÓRGIA"/>
    <s v="9"/>
    <n v="19.79"/>
    <n v="19.239999999999998"/>
    <d v="2026-01-20T00:00:00"/>
    <d v="2026-07-03T00:00:00"/>
    <m/>
    <x v="11"/>
    <n v="0.18476786944840543"/>
    <x v="0"/>
    <x v="1"/>
    <x v="0"/>
    <d v="2026-07-06T00:00:00"/>
    <x v="0"/>
  </r>
  <r>
    <x v="0"/>
    <n v="200"/>
    <s v="SANTO ANTONIO CLAÚDIO FRANCO"/>
    <s v="10"/>
    <n v="43.24"/>
    <n v="43.28"/>
    <d v="2025-12-17T00:00:00"/>
    <d v="2026-06-17T00:00:00"/>
    <m/>
    <x v="12"/>
    <n v="0.29928999596174266"/>
    <x v="2"/>
    <x v="1"/>
    <x v="1"/>
    <d v="2026-06-19T00:00:00"/>
    <x v="0"/>
  </r>
  <r>
    <x v="0"/>
    <n v="200"/>
    <s v="SANTO ANTONIO CLAÚDIO FRANCO"/>
    <s v="12"/>
    <n v="29.55"/>
    <n v="29.98"/>
    <d v="2025-12-05T00:00:00"/>
    <d v="2026-06-17T00:00:00"/>
    <m/>
    <x v="13"/>
    <n v="0.21636681676161054"/>
    <x v="1"/>
    <x v="0"/>
    <x v="1"/>
    <d v="2026-06-19T00:00:00"/>
    <x v="0"/>
  </r>
  <r>
    <x v="0"/>
    <n v="200"/>
    <s v="SANTO ANTONIO CLAÚDIO FRANCO"/>
    <s v="15"/>
    <n v="49.39"/>
    <n v="50.13"/>
    <d v="2025-11-21T00:00:00"/>
    <d v="2026-05-18T00:00:00"/>
    <m/>
    <x v="14"/>
    <n v="0.21078847348311341"/>
    <x v="1"/>
    <x v="1"/>
    <x v="1"/>
    <d v="2026-06-10T00:00:00"/>
    <x v="0"/>
  </r>
  <r>
    <x v="0"/>
    <n v="200"/>
    <s v="SANTO ANTONIO CLAÚDIO FRANCO"/>
    <s v="19"/>
    <n v="17.16"/>
    <n v="17.079999999999998"/>
    <d v="2026-01-10T00:00:00"/>
    <d v="2026-07-28T00:00:00"/>
    <m/>
    <x v="15"/>
    <n v="0.28337884869467933"/>
    <x v="2"/>
    <x v="1"/>
    <x v="1"/>
    <d v="2026-07-30T00:00:00"/>
    <x v="0"/>
  </r>
  <r>
    <x v="0"/>
    <n v="200"/>
    <s v="SANTO ANTONIO CLAÚDIO FRANCO"/>
    <s v="2"/>
    <n v="25.81"/>
    <n v="26.24"/>
    <d v="2025-11-21T00:00:00"/>
    <d v="2026-06-17T00:00:00"/>
    <m/>
    <x v="16"/>
    <n v="0.26039367008999786"/>
    <x v="2"/>
    <x v="1"/>
    <x v="1"/>
    <d v="2026-06-19T00:00:00"/>
    <x v="0"/>
  </r>
  <r>
    <x v="0"/>
    <n v="200"/>
    <s v="SANTO ANTONIO CLAÚDIO FRANCO"/>
    <s v="25"/>
    <n v="30.09"/>
    <n v="30.33"/>
    <d v="2026-01-12T00:00:00"/>
    <d v="2026-07-03T00:00:00"/>
    <m/>
    <x v="17"/>
    <n v="0.30213308631885283"/>
    <x v="3"/>
    <x v="1"/>
    <x v="1"/>
    <d v="2026-07-06T00:00:00"/>
    <x v="0"/>
  </r>
  <r>
    <x v="0"/>
    <n v="200"/>
    <s v="SANTO ANTONIO CLAÚDIO FRANCO"/>
    <s v="27"/>
    <n v="52.29"/>
    <n v="51.92"/>
    <d v="2025-12-11T00:00:00"/>
    <d v="2026-07-28T00:00:00"/>
    <m/>
    <x v="18"/>
    <n v="0.18255939447779015"/>
    <x v="0"/>
    <x v="1"/>
    <x v="0"/>
    <d v="2026-07-30T00:00:00"/>
    <x v="0"/>
  </r>
  <r>
    <x v="0"/>
    <n v="200"/>
    <s v="SANTO ANTONIO CLAÚDIO FRANCO"/>
    <s v="28"/>
    <n v="28.73"/>
    <n v="29.63"/>
    <d v="2025-12-17T00:00:00"/>
    <d v="2026-06-17T00:00:00"/>
    <m/>
    <x v="19"/>
    <n v="0.21199934138607934"/>
    <x v="1"/>
    <x v="0"/>
    <x v="1"/>
    <d v="2026-06-19T00:00:00"/>
    <x v="0"/>
  </r>
  <r>
    <x v="0"/>
    <n v="200"/>
    <s v="SANTO ANTONIO CLAÚDIO FRANCO"/>
    <s v="29"/>
    <n v="23.56"/>
    <n v="23.41"/>
    <d v="2026-01-09T00:00:00"/>
    <d v="2026-07-03T00:00:00"/>
    <m/>
    <x v="20"/>
    <n v="0.25048289279792069"/>
    <x v="2"/>
    <x v="1"/>
    <x v="1"/>
    <d v="2026-07-06T00:00:00"/>
    <x v="0"/>
  </r>
  <r>
    <x v="0"/>
    <n v="200"/>
    <s v="SANTO ANTONIO CLAÚDIO FRANCO"/>
    <s v="3"/>
    <n v="31.5"/>
    <n v="31.66"/>
    <d v="2025-11-18T00:00:00"/>
    <d v="2026-05-18T00:00:00"/>
    <m/>
    <x v="21"/>
    <n v="0.25689252085048653"/>
    <x v="2"/>
    <x v="0"/>
    <x v="1"/>
    <d v="2026-06-10T00:00:00"/>
    <x v="0"/>
  </r>
  <r>
    <x v="0"/>
    <n v="200"/>
    <s v="SANTO ANTONIO CLAÚDIO FRANCO"/>
    <s v="32"/>
    <n v="53.79"/>
    <n v="54.44"/>
    <d v="2026-01-21T00:00:00"/>
    <d v="2026-07-03T00:00:00"/>
    <m/>
    <x v="22"/>
    <n v="0.191048418136645"/>
    <x v="0"/>
    <x v="0"/>
    <x v="0"/>
    <d v="2026-07-06T00:00:00"/>
    <x v="0"/>
  </r>
  <r>
    <x v="0"/>
    <n v="200"/>
    <s v="SANTO ANTONIO CLAÚDIO FRANCO"/>
    <s v="36"/>
    <n v="11.57"/>
    <n v="11.91"/>
    <d v="2025-12-10T00:00:00"/>
    <d v="2026-06-03T00:00:00"/>
    <m/>
    <x v="15"/>
    <n v="0.2472229053597659"/>
    <x v="1"/>
    <x v="1"/>
    <x v="1"/>
    <d v="2026-06-10T00:00:00"/>
    <x v="0"/>
  </r>
  <r>
    <x v="0"/>
    <n v="200"/>
    <s v="SANTO ANTONIO CLAÚDIO FRANCO"/>
    <s v="37"/>
    <n v="28.04"/>
    <n v="15.78"/>
    <d v="2025-12-08T00:00:00"/>
    <d v="2026-06-17T00:00:00"/>
    <m/>
    <x v="23"/>
    <n v="0.17255027738473544"/>
    <x v="0"/>
    <x v="0"/>
    <x v="0"/>
    <d v="2026-06-19T00:00:00"/>
    <x v="0"/>
  </r>
  <r>
    <x v="0"/>
    <n v="200"/>
    <s v="SANTO ANTONIO CLAÚDIO FRANCO"/>
    <s v="38"/>
    <n v="15.32"/>
    <n v="27.95"/>
    <d v="2025-12-03T00:00:00"/>
    <d v="2026-05-18T00:00:00"/>
    <m/>
    <x v="24"/>
    <n v="0.12131638233392113"/>
    <x v="4"/>
    <x v="0"/>
    <x v="0"/>
    <d v="2026-06-10T00:00:00"/>
    <x v="0"/>
  </r>
  <r>
    <x v="0"/>
    <n v="200"/>
    <s v="SANTO ANTONIO CLAÚDIO FRANCO"/>
    <s v="4"/>
    <n v="49.64"/>
    <n v="49.31"/>
    <d v="2025-12-03T00:00:00"/>
    <d v="2026-07-03T00:00:00"/>
    <m/>
    <x v="25"/>
    <n v="0.29353441472192637"/>
    <x v="2"/>
    <x v="0"/>
    <x v="1"/>
    <d v="2026-07-06T00:00:00"/>
    <x v="0"/>
  </r>
  <r>
    <x v="0"/>
    <n v="200"/>
    <s v="SANTO ANTONIO CLAÚDIO FRANCO"/>
    <s v="51"/>
    <n v="42.6"/>
    <n v="41.69"/>
    <d v="2025-12-27T00:00:00"/>
    <d v="2026-07-03T00:00:00"/>
    <m/>
    <x v="26"/>
    <n v="0.35291447277007637"/>
    <x v="5"/>
    <x v="1"/>
    <x v="1"/>
    <d v="2026-07-06T00:00:00"/>
    <x v="0"/>
  </r>
  <r>
    <x v="0"/>
    <n v="200"/>
    <s v="SANTO ANTONIO CLAÚDIO FRANCO"/>
    <s v="71"/>
    <n v="51.5"/>
    <n v="11.88"/>
    <d v="2026-03-17T00:00:00"/>
    <d v="2026-07-14T00:00:00"/>
    <m/>
    <x v="27"/>
    <n v="0.22322510060522496"/>
    <x v="1"/>
    <x v="1"/>
    <x v="1"/>
    <d v="2026-07-30T00:00:00"/>
    <x v="0"/>
  </r>
  <r>
    <x v="0"/>
    <n v="200"/>
    <s v="SANTO ANTONIO CLAÚDIO FRANCO"/>
    <s v="8"/>
    <n v="32.03"/>
    <n v="31.86"/>
    <d v="2025-12-09T00:00:00"/>
    <d v="2026-06-17T00:00:00"/>
    <m/>
    <x v="28"/>
    <n v="0.22189932087700198"/>
    <x v="1"/>
    <x v="0"/>
    <x v="1"/>
    <d v="2026-06-19T00:00:00"/>
    <x v="0"/>
  </r>
  <r>
    <x v="0"/>
    <n v="200"/>
    <s v="SANTO ANTONIO CLAÚDIO FRANCO"/>
    <s v="9"/>
    <n v="21.62"/>
    <n v="21.77"/>
    <d v="2025-12-11T00:00:00"/>
    <d v="2026-06-17T00:00:00"/>
    <m/>
    <x v="29"/>
    <n v="0.25927654426599878"/>
    <x v="2"/>
    <x v="0"/>
    <x v="1"/>
    <d v="2026-06-19T00:00:00"/>
    <x v="0"/>
  </r>
  <r>
    <x v="0"/>
    <n v="205"/>
    <s v="GAIVOTA"/>
    <s v="1"/>
    <n v="45.9"/>
    <n v="46.29"/>
    <d v="2026-03-12T00:00:00"/>
    <d v="2026-07-24T00:00:00"/>
    <m/>
    <x v="30"/>
    <n v="0.19935197774124311"/>
    <x v="0"/>
    <x v="0"/>
    <x v="0"/>
    <d v="2026-07-30T00:00:00"/>
    <x v="1"/>
  </r>
  <r>
    <x v="0"/>
    <n v="205"/>
    <s v="GAIVOTA"/>
    <s v="14"/>
    <n v="23.83"/>
    <n v="23.76"/>
    <d v="2026-02-12T00:00:00"/>
    <d v="2026-07-09T00:00:00"/>
    <m/>
    <x v="31"/>
    <n v="0.22802594783183031"/>
    <x v="1"/>
    <x v="0"/>
    <x v="1"/>
    <d v="2026-07-13T00:00:00"/>
    <x v="1"/>
  </r>
  <r>
    <x v="0"/>
    <n v="205"/>
    <s v="GAIVOTA"/>
    <s v="23"/>
    <n v="33.53"/>
    <n v="33.53"/>
    <d v="2026-01-29T00:00:00"/>
    <d v="2026-07-09T00:00:00"/>
    <m/>
    <x v="32"/>
    <n v="0.35239274095553313"/>
    <x v="5"/>
    <x v="0"/>
    <x v="1"/>
    <d v="2026-07-13T00:00:00"/>
    <x v="1"/>
  </r>
  <r>
    <x v="0"/>
    <n v="205"/>
    <s v="GAIVOTA"/>
    <s v="24"/>
    <n v="27.07"/>
    <n v="26.27"/>
    <d v="2026-01-31T00:00:00"/>
    <d v="2026-07-09T00:00:00"/>
    <m/>
    <x v="13"/>
    <n v="0.21726426234616333"/>
    <x v="1"/>
    <x v="0"/>
    <x v="1"/>
    <d v="2026-07-13T00:00:00"/>
    <x v="1"/>
  </r>
  <r>
    <x v="0"/>
    <n v="205"/>
    <s v="GAIVOTA"/>
    <s v="25"/>
    <n v="29.73"/>
    <n v="28.99"/>
    <d v="2026-02-04T00:00:00"/>
    <d v="2026-07-09T00:00:00"/>
    <m/>
    <x v="33"/>
    <n v="0.20993760776571369"/>
    <x v="1"/>
    <x v="0"/>
    <x v="1"/>
    <d v="2026-07-13T00:00:00"/>
    <x v="1"/>
  </r>
  <r>
    <x v="0"/>
    <n v="205"/>
    <s v="GAIVOTA"/>
    <s v="26"/>
    <n v="20.399999999999999"/>
    <n v="19.27"/>
    <d v="2026-02-10T00:00:00"/>
    <d v="2026-07-09T00:00:00"/>
    <m/>
    <x v="34"/>
    <n v="0.22791406681640519"/>
    <x v="1"/>
    <x v="0"/>
    <x v="1"/>
    <d v="2026-07-13T00:00:00"/>
    <x v="1"/>
  </r>
  <r>
    <x v="0"/>
    <n v="205"/>
    <s v="GAIVOTA"/>
    <s v="3"/>
    <n v="45.95"/>
    <n v="45.95"/>
    <d v="2026-03-10T00:00:00"/>
    <d v="2026-07-24T00:00:00"/>
    <m/>
    <x v="35"/>
    <n v="0.11716706993412145"/>
    <x v="4"/>
    <x v="0"/>
    <x v="0"/>
    <d v="2026-07-30T00:00:00"/>
    <x v="1"/>
  </r>
  <r>
    <x v="0"/>
    <n v="205"/>
    <s v="GAIVOTA"/>
    <s v="4"/>
    <n v="50.47"/>
    <n v="51.03"/>
    <d v="2026-03-03T00:00:00"/>
    <d v="2026-07-24T00:00:00"/>
    <m/>
    <x v="22"/>
    <m/>
    <x v="6"/>
    <x v="0"/>
    <x v="2"/>
    <d v="2026-07-30T00:00:00"/>
    <x v="1"/>
  </r>
  <r>
    <x v="0"/>
    <n v="205"/>
    <s v="GAIVOTA"/>
    <s v="7"/>
    <n v="30.86"/>
    <n v="30.59"/>
    <d v="2026-02-19T00:00:00"/>
    <d v="2026-07-09T00:00:00"/>
    <m/>
    <x v="36"/>
    <n v="0.16702136451373101"/>
    <x v="0"/>
    <x v="0"/>
    <x v="0"/>
    <d v="2026-07-13T00:00:00"/>
    <x v="1"/>
  </r>
  <r>
    <x v="0"/>
    <n v="205"/>
    <s v="GAIVOTA"/>
    <s v="8"/>
    <n v="30.54"/>
    <n v="30.4"/>
    <d v="2026-02-18T00:00:00"/>
    <d v="2026-07-09T00:00:00"/>
    <m/>
    <x v="37"/>
    <n v="0.23735496003648743"/>
    <x v="1"/>
    <x v="0"/>
    <x v="1"/>
    <d v="2026-07-13T00:00:00"/>
    <x v="1"/>
  </r>
  <r>
    <x v="0"/>
    <n v="205"/>
    <s v="GAIVOTA"/>
    <s v="9"/>
    <n v="28.5"/>
    <n v="27.48"/>
    <d v="2026-02-19T00:00:00"/>
    <d v="2026-07-09T00:00:00"/>
    <m/>
    <x v="38"/>
    <n v="0.24524891463331838"/>
    <x v="1"/>
    <x v="0"/>
    <x v="1"/>
    <d v="2026-07-13T00:00:00"/>
    <x v="1"/>
  </r>
  <r>
    <x v="0"/>
    <n v="214"/>
    <s v="BRASÍLIA I"/>
    <s v="1"/>
    <n v="13.2"/>
    <n v="12.82"/>
    <d v="2026-02-26T00:00:00"/>
    <d v="2026-07-28T00:00:00"/>
    <m/>
    <x v="39"/>
    <n v="0.22052582709134261"/>
    <x v="1"/>
    <x v="0"/>
    <x v="1"/>
    <d v="2026-07-30T00:00:00"/>
    <x v="0"/>
  </r>
  <r>
    <x v="0"/>
    <n v="214"/>
    <s v="BRASÍLIA I"/>
    <s v="2"/>
    <n v="37.32"/>
    <n v="36.39"/>
    <d v="2026-02-26T00:00:00"/>
    <d v="2026-07-14T00:00:00"/>
    <m/>
    <x v="40"/>
    <n v="0.19387965466960891"/>
    <x v="0"/>
    <x v="0"/>
    <x v="0"/>
    <d v="2026-07-27T00:00:00"/>
    <x v="0"/>
  </r>
  <r>
    <x v="0"/>
    <n v="214"/>
    <s v="BRASÍLIA I"/>
    <s v="3"/>
    <n v="22.22"/>
    <n v="22"/>
    <d v="2026-03-05T00:00:00"/>
    <d v="2026-07-28T00:00:00"/>
    <m/>
    <x v="41"/>
    <n v="0.18443488185238541"/>
    <x v="0"/>
    <x v="1"/>
    <x v="0"/>
    <d v="2026-07-30T00:00:00"/>
    <x v="0"/>
  </r>
  <r>
    <x v="0"/>
    <n v="214"/>
    <s v="BRASÍLIA I"/>
    <s v="4"/>
    <n v="23.33"/>
    <n v="22.07"/>
    <d v="2026-02-19T00:00:00"/>
    <d v="2026-07-28T00:00:00"/>
    <m/>
    <x v="42"/>
    <n v="0.20762893916651509"/>
    <x v="1"/>
    <x v="0"/>
    <x v="1"/>
    <d v="2026-07-30T00:00:00"/>
    <x v="0"/>
  </r>
  <r>
    <x v="0"/>
    <n v="214"/>
    <s v="BRASÍLIA I"/>
    <s v="5"/>
    <n v="31.77"/>
    <n v="31.12"/>
    <d v="2026-02-13T00:00:00"/>
    <d v="2026-07-07T00:00:00"/>
    <m/>
    <x v="43"/>
    <n v="0.18233295944544972"/>
    <x v="0"/>
    <x v="0"/>
    <x v="0"/>
    <d v="2026-07-13T00:00:00"/>
    <x v="0"/>
  </r>
  <r>
    <x v="0"/>
    <n v="214"/>
    <s v="BRASÍLIA I"/>
    <s v="6"/>
    <n v="33.11"/>
    <n v="32.659999999999997"/>
    <d v="2026-02-18T00:00:00"/>
    <d v="2026-07-07T00:00:00"/>
    <m/>
    <x v="44"/>
    <n v="0.18398836252004949"/>
    <x v="0"/>
    <x v="0"/>
    <x v="0"/>
    <d v="2026-07-13T00:00:00"/>
    <x v="0"/>
  </r>
  <r>
    <x v="0"/>
    <n v="228"/>
    <s v="BRIOSO"/>
    <s v="45"/>
    <n v="42.27"/>
    <n v="41.74"/>
    <d v="2026-02-05T00:00:00"/>
    <d v="2026-07-03T00:00:00"/>
    <m/>
    <x v="45"/>
    <n v="0.15059400927146413"/>
    <x v="0"/>
    <x v="1"/>
    <x v="0"/>
    <d v="2026-07-06T00:00:00"/>
    <x v="0"/>
  </r>
  <r>
    <x v="0"/>
    <n v="228"/>
    <s v="BRIOSO"/>
    <s v="46"/>
    <n v="45.39"/>
    <n v="45.28"/>
    <d v="2026-02-18T00:00:00"/>
    <d v="2026-07-03T00:00:00"/>
    <m/>
    <x v="46"/>
    <n v="0.20625701071100908"/>
    <x v="1"/>
    <x v="0"/>
    <x v="1"/>
    <d v="2026-07-06T00:00:00"/>
    <x v="0"/>
  </r>
  <r>
    <x v="0"/>
    <n v="228"/>
    <s v="BRIOSO"/>
    <s v="47"/>
    <n v="27.49"/>
    <n v="27.69"/>
    <d v="2026-01-28T00:00:00"/>
    <d v="2026-07-03T00:00:00"/>
    <m/>
    <x v="47"/>
    <n v="0.18826126641204999"/>
    <x v="0"/>
    <x v="1"/>
    <x v="0"/>
    <d v="2026-07-06T00:00:00"/>
    <x v="0"/>
  </r>
  <r>
    <x v="0"/>
    <n v="228"/>
    <s v="BRIOSO"/>
    <s v="48"/>
    <n v="45.89"/>
    <n v="45.63"/>
    <d v="2026-02-10T00:00:00"/>
    <d v="2026-07-03T00:00:00"/>
    <m/>
    <x v="24"/>
    <n v="0.17149086927463666"/>
    <x v="0"/>
    <x v="0"/>
    <x v="0"/>
    <d v="2026-07-06T00:00:00"/>
    <x v="0"/>
  </r>
  <r>
    <x v="0"/>
    <n v="228"/>
    <s v="BRIOSO"/>
    <s v="49"/>
    <n v="24.72"/>
    <n v="24.93"/>
    <d v="2026-01-30T00:00:00"/>
    <d v="2026-07-03T00:00:00"/>
    <m/>
    <x v="48"/>
    <n v="0.17320048505211699"/>
    <x v="0"/>
    <x v="0"/>
    <x v="0"/>
    <d v="2026-07-06T00:00:00"/>
    <x v="0"/>
  </r>
  <r>
    <x v="0"/>
    <n v="228"/>
    <s v="BRIOSO"/>
    <s v="50"/>
    <n v="35.770000000000003"/>
    <n v="35.67"/>
    <d v="2026-02-05T00:00:00"/>
    <d v="2026-07-14T00:00:00"/>
    <m/>
    <x v="8"/>
    <n v="0.16847571776349687"/>
    <x v="0"/>
    <x v="1"/>
    <x v="0"/>
    <d v="2026-07-27T00:00:00"/>
    <x v="0"/>
  </r>
  <r>
    <x v="0"/>
    <n v="228"/>
    <s v="BRIOSO"/>
    <s v="58"/>
    <n v="31.77"/>
    <n v="33.96"/>
    <d v="2026-02-19T00:00:00"/>
    <d v="2026-07-28T00:00:00"/>
    <m/>
    <x v="49"/>
    <n v="0.25009226206834284"/>
    <x v="2"/>
    <x v="1"/>
    <x v="1"/>
    <d v="2026-07-30T00:00:00"/>
    <x v="0"/>
  </r>
  <r>
    <x v="0"/>
    <n v="228"/>
    <s v="BRIOSO"/>
    <s v="62"/>
    <n v="55.38"/>
    <n v="53.98"/>
    <d v="2026-01-26T00:00:00"/>
    <d v="2026-06-09T00:00:00"/>
    <m/>
    <x v="50"/>
    <n v="0.19301307350168731"/>
    <x v="0"/>
    <x v="1"/>
    <x v="0"/>
    <d v="2026-06-10T00:00:00"/>
    <x v="0"/>
  </r>
  <r>
    <x v="0"/>
    <n v="228"/>
    <s v="BRIOSO"/>
    <s v="63A"/>
    <n v="20.079999999999998"/>
    <n v="18.47"/>
    <d v="2026-01-28T00:00:00"/>
    <d v="2026-06-03T00:00:00"/>
    <m/>
    <x v="51"/>
    <n v="0.11967145120418565"/>
    <x v="4"/>
    <x v="1"/>
    <x v="0"/>
    <d v="2026-06-10T00:00:00"/>
    <x v="0"/>
  </r>
  <r>
    <x v="0"/>
    <n v="228"/>
    <s v="BRIOSO"/>
    <s v="64"/>
    <n v="75.36"/>
    <n v="72.87"/>
    <d v="2026-01-20T00:00:00"/>
    <d v="2026-06-03T00:00:00"/>
    <m/>
    <x v="52"/>
    <n v="0.11813229604979496"/>
    <x v="4"/>
    <x v="0"/>
    <x v="0"/>
    <d v="2026-06-10T00:00:00"/>
    <x v="0"/>
  </r>
  <r>
    <x v="0"/>
    <n v="228"/>
    <s v="BRIOSO"/>
    <s v="65"/>
    <n v="28.39"/>
    <n v="27.35"/>
    <d v="2026-02-14T00:00:00"/>
    <d v="2026-07-03T00:00:00"/>
    <m/>
    <x v="53"/>
    <n v="0.17236797771258455"/>
    <x v="0"/>
    <x v="0"/>
    <x v="0"/>
    <d v="2026-07-06T00:00:00"/>
    <x v="0"/>
  </r>
  <r>
    <x v="0"/>
    <n v="295"/>
    <s v="BOM RETIRO- GLEBAS A1B1"/>
    <s v="15"/>
    <n v="52.89"/>
    <n v="50.55"/>
    <d v="2025-12-01T00:00:00"/>
    <d v="2026-07-28T00:00:00"/>
    <m/>
    <x v="54"/>
    <n v="0.14704719581422551"/>
    <x v="4"/>
    <x v="0"/>
    <x v="0"/>
    <d v="2026-07-30T00:00:00"/>
    <x v="0"/>
  </r>
  <r>
    <x v="0"/>
    <n v="295"/>
    <s v="BOM RETIRO- GLEBAS A1B1"/>
    <s v="16"/>
    <n v="33.909999999999997"/>
    <n v="33"/>
    <d v="2025-12-03T00:00:00"/>
    <d v="2026-07-28T00:00:00"/>
    <m/>
    <x v="55"/>
    <n v="0.14960726595472426"/>
    <x v="4"/>
    <x v="1"/>
    <x v="0"/>
    <d v="2026-07-30T00:00:00"/>
    <x v="0"/>
  </r>
  <r>
    <x v="0"/>
    <n v="295"/>
    <s v="BOM RETIRO- GLEBAS A1B1"/>
    <s v="25"/>
    <n v="52.54"/>
    <n v="52.53"/>
    <d v="2025-12-08T00:00:00"/>
    <d v="2026-07-28T00:00:00"/>
    <m/>
    <x v="56"/>
    <n v="0.1940722770847022"/>
    <x v="0"/>
    <x v="0"/>
    <x v="0"/>
    <d v="2026-07-30T00:00:00"/>
    <x v="0"/>
  </r>
  <r>
    <x v="0"/>
    <n v="295"/>
    <s v="BOM RETIRO- GLEBAS A1B1"/>
    <s v="26"/>
    <n v="31.43"/>
    <n v="30.99"/>
    <d v="2025-12-09T00:00:00"/>
    <d v="2026-07-28T00:00:00"/>
    <m/>
    <x v="57"/>
    <n v="0.14334629946835054"/>
    <x v="4"/>
    <x v="0"/>
    <x v="0"/>
    <d v="2026-07-30T00:00:00"/>
    <x v="0"/>
  </r>
  <r>
    <x v="0"/>
    <n v="295"/>
    <s v="BOM RETIRO- GLEBAS A1B1"/>
    <s v="29"/>
    <n v="49.81"/>
    <n v="48.52"/>
    <d v="2025-12-10T00:00:00"/>
    <d v="2026-07-28T00:00:00"/>
    <m/>
    <x v="58"/>
    <n v="0.16951056474580917"/>
    <x v="0"/>
    <x v="1"/>
    <x v="0"/>
    <d v="2026-07-30T00:00:00"/>
    <x v="0"/>
  </r>
  <r>
    <x v="0"/>
    <n v="295"/>
    <s v="BOM RETIRO- GLEBAS A1B1"/>
    <s v="30"/>
    <n v="46.22"/>
    <n v="45.08"/>
    <d v="2025-12-09T00:00:00"/>
    <d v="2026-07-28T00:00:00"/>
    <m/>
    <x v="59"/>
    <n v="0.14926196822090035"/>
    <x v="4"/>
    <x v="1"/>
    <x v="0"/>
    <d v="2026-07-30T00:00:00"/>
    <x v="0"/>
  </r>
  <r>
    <x v="0"/>
    <n v="295"/>
    <s v="BOM RETIRO- GLEBAS A1B1"/>
    <s v="50"/>
    <n v="5.04"/>
    <n v="5.01"/>
    <d v="2026-01-06T00:00:00"/>
    <d v="2026-07-28T00:00:00"/>
    <m/>
    <x v="20"/>
    <n v="0.38296564944698963"/>
    <x v="5"/>
    <x v="1"/>
    <x v="1"/>
    <d v="2026-07-30T00:00:00"/>
    <x v="0"/>
  </r>
  <r>
    <x v="0"/>
    <n v="295"/>
    <s v="BOM RETIRO- GLEBAS A1B1"/>
    <s v="7"/>
    <n v="44.45"/>
    <n v="45.1"/>
    <d v="2025-11-21T00:00:00"/>
    <d v="2026-07-28T00:00:00"/>
    <m/>
    <x v="60"/>
    <n v="0.153446874874378"/>
    <x v="0"/>
    <x v="1"/>
    <x v="0"/>
    <d v="2026-07-30T00:00:00"/>
    <x v="0"/>
  </r>
  <r>
    <x v="0"/>
    <n v="295"/>
    <s v="BOM RETIRO- GLEBAS A1B1"/>
    <s v="8"/>
    <n v="44.63"/>
    <n v="44.4"/>
    <d v="2025-11-28T00:00:00"/>
    <d v="2026-07-28T00:00:00"/>
    <m/>
    <x v="61"/>
    <n v="0.12831421541931187"/>
    <x v="4"/>
    <x v="0"/>
    <x v="0"/>
    <d v="2026-07-30T00:00:00"/>
    <x v="0"/>
  </r>
  <r>
    <x v="0"/>
    <n v="295"/>
    <s v="BOM RETIRO- GLEBAS A1B1"/>
    <s v="9"/>
    <n v="23.21"/>
    <n v="22.26"/>
    <d v="2025-11-28T00:00:00"/>
    <d v="2026-07-28T00:00:00"/>
    <m/>
    <x v="62"/>
    <n v="0.12606359266499167"/>
    <x v="4"/>
    <x v="1"/>
    <x v="0"/>
    <d v="2026-07-30T00:00:00"/>
    <x v="0"/>
  </r>
  <r>
    <x v="0"/>
    <n v="471"/>
    <s v="ÍNDIA"/>
    <s v="1"/>
    <n v="36.04"/>
    <n v="35.61"/>
    <d v="2025-12-04T00:00:00"/>
    <d v="2026-05-12T00:00:00"/>
    <m/>
    <x v="63"/>
    <n v="0.13640358665641913"/>
    <x v="4"/>
    <x v="2"/>
    <x v="0"/>
    <d v="2026-06-10T00:00:00"/>
    <x v="0"/>
  </r>
  <r>
    <x v="0"/>
    <n v="471"/>
    <s v="ÍNDIA"/>
    <s v="10"/>
    <n v="17.32"/>
    <n v="17.03"/>
    <d v="2025-12-16T00:00:00"/>
    <d v="2026-07-14T00:00:00"/>
    <m/>
    <x v="64"/>
    <n v="0.25201513258180197"/>
    <x v="2"/>
    <x v="0"/>
    <x v="1"/>
    <d v="2026-07-30T00:00:00"/>
    <x v="0"/>
  </r>
  <r>
    <x v="0"/>
    <n v="471"/>
    <s v="ÍNDIA"/>
    <s v="2"/>
    <n v="41.35"/>
    <n v="41.03"/>
    <d v="2025-12-08T00:00:00"/>
    <d v="2026-07-14T00:00:00"/>
    <m/>
    <x v="65"/>
    <n v="0.20947625021935201"/>
    <x v="1"/>
    <x v="0"/>
    <x v="1"/>
    <d v="2026-07-30T00:00:00"/>
    <x v="0"/>
  </r>
  <r>
    <x v="0"/>
    <n v="471"/>
    <s v="ÍNDIA"/>
    <s v="3"/>
    <n v="50.31"/>
    <n v="50.1"/>
    <d v="2025-12-09T00:00:00"/>
    <d v="2026-07-14T00:00:00"/>
    <m/>
    <x v="66"/>
    <n v="0.11590921806304628"/>
    <x v="4"/>
    <x v="0"/>
    <x v="0"/>
    <d v="2026-07-30T00:00:00"/>
    <x v="0"/>
  </r>
  <r>
    <x v="0"/>
    <n v="471"/>
    <s v="ÍNDIA"/>
    <s v="4"/>
    <n v="51.58"/>
    <n v="51.2"/>
    <d v="2025-12-16T00:00:00"/>
    <d v="2026-07-14T00:00:00"/>
    <m/>
    <x v="67"/>
    <n v="0.12713122737592253"/>
    <x v="4"/>
    <x v="0"/>
    <x v="0"/>
    <d v="2026-07-30T00:00:00"/>
    <x v="0"/>
  </r>
  <r>
    <x v="0"/>
    <n v="489"/>
    <s v="CANIVETE-RIBAS"/>
    <s v="1"/>
    <n v="29.678511"/>
    <n v="28.61"/>
    <d v="2026-02-03T00:00:00"/>
    <d v="2026-06-23T00:00:00"/>
    <m/>
    <x v="68"/>
    <n v="0.2412887604221757"/>
    <x v="1"/>
    <x v="1"/>
    <x v="1"/>
    <d v="2026-06-24T00:00:00"/>
    <x v="0"/>
  </r>
  <r>
    <x v="0"/>
    <n v="489"/>
    <s v="CANIVETE-RIBAS"/>
    <s v="10"/>
    <n v="49.53"/>
    <n v="49.43"/>
    <d v="2026-01-07T00:00:00"/>
    <d v="2026-05-27T00:00:00"/>
    <m/>
    <x v="69"/>
    <n v="0.18354484820428887"/>
    <x v="0"/>
    <x v="1"/>
    <x v="0"/>
    <d v="2026-06-10T00:00:00"/>
    <x v="0"/>
  </r>
  <r>
    <x v="0"/>
    <n v="489"/>
    <s v="CANIVETE-RIBAS"/>
    <s v="11"/>
    <n v="43.22"/>
    <n v="43.23"/>
    <d v="2026-01-06T00:00:00"/>
    <d v="2026-05-27T00:00:00"/>
    <m/>
    <x v="70"/>
    <n v="0.18755564235994329"/>
    <x v="0"/>
    <x v="0"/>
    <x v="0"/>
    <d v="2026-06-10T00:00:00"/>
    <x v="0"/>
  </r>
  <r>
    <x v="0"/>
    <n v="489"/>
    <s v="CANIVETE-RIBAS"/>
    <s v="12"/>
    <n v="54.92"/>
    <n v="54.83"/>
    <d v="2026-01-14T00:00:00"/>
    <d v="2026-05-27T00:00:00"/>
    <m/>
    <x v="71"/>
    <n v="0.1678801029128752"/>
    <x v="0"/>
    <x v="1"/>
    <x v="0"/>
    <d v="2026-06-10T00:00:00"/>
    <x v="0"/>
  </r>
  <r>
    <x v="0"/>
    <n v="489"/>
    <s v="CANIVETE-RIBAS"/>
    <s v="13"/>
    <n v="39.729999999999997"/>
    <n v="38.83"/>
    <d v="2026-01-13T00:00:00"/>
    <d v="2026-05-27T00:00:00"/>
    <m/>
    <x v="72"/>
    <n v="0.17050179832694742"/>
    <x v="0"/>
    <x v="1"/>
    <x v="0"/>
    <d v="2026-06-10T00:00:00"/>
    <x v="0"/>
  </r>
  <r>
    <x v="0"/>
    <n v="489"/>
    <s v="CANIVETE-RIBAS"/>
    <s v="14A"/>
    <n v="48.87"/>
    <n v="45.06"/>
    <d v="2026-01-27T00:00:00"/>
    <d v="2026-05-27T00:00:00"/>
    <m/>
    <x v="73"/>
    <n v="0.20879700482180488"/>
    <x v="1"/>
    <x v="1"/>
    <x v="1"/>
    <d v="2026-06-10T00:00:00"/>
    <x v="0"/>
  </r>
  <r>
    <x v="0"/>
    <n v="489"/>
    <s v="CANIVETE-RIBAS"/>
    <s v="15"/>
    <n v="41.88"/>
    <n v="41.14"/>
    <d v="2026-01-20T00:00:00"/>
    <d v="2026-06-09T00:00:00"/>
    <m/>
    <x v="74"/>
    <n v="0.19192067625030587"/>
    <x v="0"/>
    <x v="1"/>
    <x v="0"/>
    <d v="2026-06-10T00:00:00"/>
    <x v="0"/>
  </r>
  <r>
    <x v="0"/>
    <n v="489"/>
    <s v="CANIVETE-RIBAS"/>
    <s v="16"/>
    <n v="45.03"/>
    <n v="43.38"/>
    <d v="2026-01-14T00:00:00"/>
    <d v="2026-06-09T00:00:00"/>
    <m/>
    <x v="75"/>
    <n v="0.22215205188301049"/>
    <x v="1"/>
    <x v="1"/>
    <x v="1"/>
    <d v="2026-06-10T00:00:00"/>
    <x v="0"/>
  </r>
  <r>
    <x v="0"/>
    <n v="489"/>
    <s v="CANIVETE-RIBAS"/>
    <s v="17"/>
    <n v="36.409999999999997"/>
    <n v="36.03"/>
    <d v="2026-01-17T00:00:00"/>
    <d v="2026-05-27T00:00:00"/>
    <m/>
    <x v="76"/>
    <n v="0.15317632394383379"/>
    <x v="0"/>
    <x v="1"/>
    <x v="0"/>
    <d v="2026-06-10T00:00:00"/>
    <x v="0"/>
  </r>
  <r>
    <x v="0"/>
    <n v="489"/>
    <s v="CANIVETE-RIBAS"/>
    <s v="18"/>
    <n v="47.47"/>
    <n v="46.44"/>
    <d v="2026-01-22T00:00:00"/>
    <d v="2026-06-09T00:00:00"/>
    <m/>
    <x v="77"/>
    <n v="0.16733211881584206"/>
    <x v="0"/>
    <x v="1"/>
    <x v="0"/>
    <d v="2026-06-10T00:00:00"/>
    <x v="0"/>
  </r>
  <r>
    <x v="0"/>
    <n v="489"/>
    <s v="CANIVETE-RIBAS"/>
    <s v="1A"/>
    <n v="23.480070000000001"/>
    <n v="23.23"/>
    <d v="2026-02-03T00:00:00"/>
    <d v="2026-06-23T00:00:00"/>
    <m/>
    <x v="78"/>
    <n v="0.21858841687224348"/>
    <x v="1"/>
    <x v="0"/>
    <x v="1"/>
    <d v="2026-06-24T00:00:00"/>
    <x v="0"/>
  </r>
  <r>
    <x v="0"/>
    <n v="489"/>
    <s v="CANIVETE-RIBAS"/>
    <s v="2"/>
    <n v="35.237575"/>
    <n v="34.89"/>
    <d v="2026-02-05T00:00:00"/>
    <d v="2026-06-23T00:00:00"/>
    <m/>
    <x v="79"/>
    <n v="0.33384509951584052"/>
    <x v="3"/>
    <x v="1"/>
    <x v="1"/>
    <m/>
    <x v="0"/>
  </r>
  <r>
    <x v="0"/>
    <n v="489"/>
    <s v="CANIVETE-RIBAS"/>
    <s v="20"/>
    <n v="44.84"/>
    <n v="42.48"/>
    <d v="2026-01-30T00:00:00"/>
    <d v="2026-06-09T00:00:00"/>
    <m/>
    <x v="80"/>
    <n v="0.17272069462866152"/>
    <x v="0"/>
    <x v="1"/>
    <x v="0"/>
    <d v="2026-06-10T00:00:00"/>
    <x v="0"/>
  </r>
  <r>
    <x v="0"/>
    <n v="489"/>
    <s v="CANIVETE-RIBAS"/>
    <s v="21"/>
    <n v="48.74"/>
    <n v="48.6"/>
    <d v="2026-01-20T00:00:00"/>
    <d v="2026-06-23T00:00:00"/>
    <m/>
    <x v="81"/>
    <n v="0.19545478287950552"/>
    <x v="0"/>
    <x v="1"/>
    <x v="0"/>
    <d v="2026-06-24T00:00:00"/>
    <x v="0"/>
  </r>
  <r>
    <x v="0"/>
    <n v="489"/>
    <s v="CANIVETE-RIBAS"/>
    <s v="22"/>
    <n v="51.42"/>
    <n v="46.02"/>
    <d v="2026-01-22T00:00:00"/>
    <d v="2026-06-23T00:00:00"/>
    <m/>
    <x v="82"/>
    <n v="0.17111844780082022"/>
    <x v="0"/>
    <x v="1"/>
    <x v="0"/>
    <d v="2026-06-24T00:00:00"/>
    <x v="0"/>
  </r>
  <r>
    <x v="0"/>
    <n v="489"/>
    <s v="CANIVETE-RIBAS"/>
    <s v="24"/>
    <n v="48.14"/>
    <n v="45.24"/>
    <d v="2026-01-27T00:00:00"/>
    <d v="2026-06-23T00:00:00"/>
    <m/>
    <x v="83"/>
    <n v="0.23174448364054206"/>
    <x v="1"/>
    <x v="1"/>
    <x v="1"/>
    <d v="2026-06-24T00:00:00"/>
    <x v="0"/>
  </r>
  <r>
    <x v="0"/>
    <n v="489"/>
    <s v="CANIVETE-RIBAS"/>
    <s v="25"/>
    <n v="37.72"/>
    <n v="37.520000000000003"/>
    <d v="2026-01-28T00:00:00"/>
    <d v="2026-06-23T00:00:00"/>
    <m/>
    <x v="84"/>
    <n v="0.23911844081681566"/>
    <x v="1"/>
    <x v="1"/>
    <x v="1"/>
    <d v="2026-06-24T00:00:00"/>
    <x v="0"/>
  </r>
  <r>
    <x v="0"/>
    <n v="489"/>
    <s v="CANIVETE-RIBAS"/>
    <s v="26"/>
    <n v="48.75"/>
    <n v="48.25"/>
    <d v="2026-01-28T00:00:00"/>
    <d v="2026-06-23T00:00:00"/>
    <m/>
    <x v="85"/>
    <n v="0.2217691403642009"/>
    <x v="1"/>
    <x v="1"/>
    <x v="1"/>
    <d v="2026-06-24T00:00:00"/>
    <x v="0"/>
  </r>
  <r>
    <x v="0"/>
    <n v="489"/>
    <s v="CANIVETE-RIBAS"/>
    <s v="27"/>
    <n v="36.880000000000003"/>
    <n v="36.590000000000003"/>
    <d v="2026-01-31T00:00:00"/>
    <d v="2026-06-23T00:00:00"/>
    <m/>
    <x v="86"/>
    <n v="0.150209135148233"/>
    <x v="0"/>
    <x v="1"/>
    <x v="0"/>
    <d v="2026-06-24T00:00:00"/>
    <x v="0"/>
  </r>
  <r>
    <x v="0"/>
    <n v="489"/>
    <s v="CANIVETE-RIBAS"/>
    <s v="28"/>
    <n v="41.85"/>
    <n v="40.94"/>
    <d v="2026-02-22T00:00:00"/>
    <d v="2026-07-21T00:00:00"/>
    <m/>
    <x v="87"/>
    <n v="0.21847228291775489"/>
    <x v="1"/>
    <x v="1"/>
    <x v="1"/>
    <d v="2026-07-30T00:00:00"/>
    <x v="0"/>
  </r>
  <r>
    <x v="0"/>
    <n v="489"/>
    <s v="CANIVETE-RIBAS"/>
    <s v="29"/>
    <n v="31.26"/>
    <n v="30.73"/>
    <d v="2026-02-20T00:00:00"/>
    <d v="2026-07-21T00:00:00"/>
    <m/>
    <x v="88"/>
    <n v="0.22373815500166286"/>
    <x v="1"/>
    <x v="1"/>
    <x v="1"/>
    <d v="2026-07-30T00:00:00"/>
    <x v="0"/>
  </r>
  <r>
    <x v="0"/>
    <n v="489"/>
    <s v="CANIVETE-RIBAS"/>
    <s v="2A"/>
    <n v="7.0738089999999998"/>
    <n v="6.8"/>
    <d v="2026-02-04T00:00:00"/>
    <d v="2026-06-23T00:00:00"/>
    <m/>
    <x v="64"/>
    <n v="0.24779999390106622"/>
    <x v="1"/>
    <x v="0"/>
    <x v="1"/>
    <d v="2026-06-24T00:00:00"/>
    <x v="0"/>
  </r>
  <r>
    <x v="0"/>
    <n v="489"/>
    <s v="CANIVETE-RIBAS"/>
    <s v="3"/>
    <n v="47.891098999999997"/>
    <n v="47.97"/>
    <d v="2026-02-07T00:00:00"/>
    <d v="2026-07-07T00:00:00"/>
    <m/>
    <x v="89"/>
    <n v="0.24683655313492953"/>
    <x v="1"/>
    <x v="1"/>
    <x v="1"/>
    <d v="2026-07-13T00:00:00"/>
    <x v="0"/>
  </r>
  <r>
    <x v="0"/>
    <n v="489"/>
    <s v="CANIVETE-RIBAS"/>
    <s v="30"/>
    <n v="36.04"/>
    <n v="35.72"/>
    <d v="2026-02-24T00:00:00"/>
    <d v="2026-07-21T00:00:00"/>
    <m/>
    <x v="90"/>
    <n v="0.21803634702775621"/>
    <x v="1"/>
    <x v="1"/>
    <x v="1"/>
    <d v="2026-07-30T00:00:00"/>
    <x v="0"/>
  </r>
  <r>
    <x v="0"/>
    <n v="489"/>
    <s v="CANIVETE-RIBAS"/>
    <s v="32"/>
    <n v="43.51"/>
    <n v="42.63"/>
    <d v="2026-02-26T00:00:00"/>
    <d v="2026-07-21T00:00:00"/>
    <m/>
    <x v="91"/>
    <n v="0.24757916170307492"/>
    <x v="1"/>
    <x v="1"/>
    <x v="1"/>
    <d v="2026-07-30T00:00:00"/>
    <x v="0"/>
  </r>
  <r>
    <x v="0"/>
    <n v="489"/>
    <s v="CANIVETE-RIBAS"/>
    <s v="35"/>
    <n v="52.6"/>
    <n v="51.62"/>
    <d v="2026-02-14T00:00:00"/>
    <d v="2026-07-07T00:00:00"/>
    <m/>
    <x v="92"/>
    <n v="0.2853646879048477"/>
    <x v="2"/>
    <x v="1"/>
    <x v="1"/>
    <d v="2026-07-13T00:00:00"/>
    <x v="0"/>
  </r>
  <r>
    <x v="0"/>
    <n v="489"/>
    <s v="CANIVETE-RIBAS"/>
    <s v="36"/>
    <n v="19.09"/>
    <n v="17.5"/>
    <d v="2026-02-11T00:00:00"/>
    <d v="2026-07-07T00:00:00"/>
    <m/>
    <x v="93"/>
    <n v="0.25707291538427735"/>
    <x v="2"/>
    <x v="1"/>
    <x v="1"/>
    <d v="2026-07-13T00:00:00"/>
    <x v="0"/>
  </r>
  <r>
    <x v="0"/>
    <n v="489"/>
    <s v="CANIVETE-RIBAS"/>
    <s v="36A"/>
    <n v="28.64"/>
    <n v="30.35"/>
    <d v="2026-02-11T00:00:00"/>
    <d v="2026-07-07T00:00:00"/>
    <m/>
    <x v="94"/>
    <n v="0.31637188898983953"/>
    <x v="3"/>
    <x v="1"/>
    <x v="1"/>
    <d v="2026-07-13T00:00:00"/>
    <x v="0"/>
  </r>
  <r>
    <x v="0"/>
    <n v="489"/>
    <s v="CANIVETE-RIBAS"/>
    <s v="37"/>
    <n v="53.38"/>
    <n v="52.96"/>
    <d v="2026-02-10T00:00:00"/>
    <d v="2026-07-07T00:00:00"/>
    <m/>
    <x v="95"/>
    <n v="0.21407083790989229"/>
    <x v="1"/>
    <x v="1"/>
    <x v="1"/>
    <d v="2026-07-13T00:00:00"/>
    <x v="0"/>
  </r>
  <r>
    <x v="0"/>
    <n v="489"/>
    <s v="CANIVETE-RIBAS"/>
    <s v="38"/>
    <n v="44.43"/>
    <n v="44.57"/>
    <d v="2026-02-12T00:00:00"/>
    <d v="2026-07-07T00:00:00"/>
    <m/>
    <x v="96"/>
    <n v="0.23398491123860451"/>
    <x v="1"/>
    <x v="1"/>
    <x v="1"/>
    <d v="2026-07-13T00:00:00"/>
    <x v="0"/>
  </r>
  <r>
    <x v="0"/>
    <n v="489"/>
    <s v="CANIVETE-RIBAS"/>
    <s v="39"/>
    <n v="40.08"/>
    <n v="39.36"/>
    <d v="2026-02-09T00:00:00"/>
    <d v="2026-07-21T00:00:00"/>
    <m/>
    <x v="97"/>
    <n v="0.28977644518771517"/>
    <x v="2"/>
    <x v="1"/>
    <x v="1"/>
    <d v="2026-07-30T00:00:00"/>
    <x v="0"/>
  </r>
  <r>
    <x v="0"/>
    <n v="489"/>
    <s v="CANIVETE-RIBAS"/>
    <s v="3A"/>
    <n v="2.7435800000000001"/>
    <n v="2.66"/>
    <d v="2026-02-05T00:00:00"/>
    <d v="2026-06-23T00:00:00"/>
    <m/>
    <x v="98"/>
    <n v="0.27573298199436597"/>
    <x v="2"/>
    <x v="1"/>
    <x v="1"/>
    <d v="2026-06-24T00:00:00"/>
    <x v="0"/>
  </r>
  <r>
    <x v="0"/>
    <n v="489"/>
    <s v="CANIVETE-RIBAS"/>
    <s v="4"/>
    <n v="26.47"/>
    <n v="25.96"/>
    <d v="2026-02-09T00:00:00"/>
    <d v="2026-06-23T00:00:00"/>
    <m/>
    <x v="99"/>
    <n v="0.35197728715466264"/>
    <x v="5"/>
    <x v="1"/>
    <x v="1"/>
    <d v="2026-06-24T00:00:00"/>
    <x v="0"/>
  </r>
  <r>
    <x v="0"/>
    <n v="489"/>
    <s v="CANIVETE-RIBAS"/>
    <s v="40"/>
    <n v="47.74"/>
    <n v="46.97"/>
    <d v="2026-02-04T00:00:00"/>
    <d v="2026-07-21T00:00:00"/>
    <m/>
    <x v="100"/>
    <n v="0.28110545291973993"/>
    <x v="2"/>
    <x v="1"/>
    <x v="1"/>
    <d v="2026-07-30T00:00:00"/>
    <x v="0"/>
  </r>
  <r>
    <x v="0"/>
    <n v="489"/>
    <s v="CANIVETE-RIBAS"/>
    <s v="41"/>
    <n v="49.91"/>
    <n v="49.61"/>
    <d v="2026-02-05T00:00:00"/>
    <d v="2026-07-21T00:00:00"/>
    <m/>
    <x v="101"/>
    <n v="0.28310536678874648"/>
    <x v="2"/>
    <x v="1"/>
    <x v="1"/>
    <d v="2026-07-30T00:00:00"/>
    <x v="0"/>
  </r>
  <r>
    <x v="0"/>
    <n v="489"/>
    <s v="CANIVETE-RIBAS"/>
    <s v="42"/>
    <n v="6.5"/>
    <n v="6.47"/>
    <d v="2026-02-04T00:00:00"/>
    <d v="2026-07-07T00:00:00"/>
    <m/>
    <x v="24"/>
    <n v="0.19423231602444679"/>
    <x v="0"/>
    <x v="0"/>
    <x v="0"/>
    <d v="2026-07-13T00:00:00"/>
    <x v="0"/>
  </r>
  <r>
    <x v="0"/>
    <n v="489"/>
    <s v="CANIVETE-RIBAS"/>
    <s v="43"/>
    <n v="9.58"/>
    <n v="9.42"/>
    <d v="2026-02-04T00:00:00"/>
    <d v="2026-07-07T00:00:00"/>
    <m/>
    <x v="102"/>
    <n v="0.26922831302730926"/>
    <x v="2"/>
    <x v="1"/>
    <x v="1"/>
    <d v="2026-07-13T00:00:00"/>
    <x v="0"/>
  </r>
  <r>
    <x v="0"/>
    <n v="489"/>
    <s v="CANIVETE-RIBAS"/>
    <s v="5"/>
    <n v="30.42"/>
    <n v="30.33"/>
    <d v="2026-02-10T00:00:00"/>
    <d v="2026-06-23T00:00:00"/>
    <m/>
    <x v="103"/>
    <n v="0.31588211491949342"/>
    <x v="3"/>
    <x v="1"/>
    <x v="1"/>
    <d v="2026-06-24T00:00:00"/>
    <x v="0"/>
  </r>
  <r>
    <x v="0"/>
    <n v="489"/>
    <s v="CANIVETE-RIBAS"/>
    <s v="6"/>
    <n v="39.659999999999997"/>
    <n v="38.67"/>
    <d v="2026-02-12T00:00:00"/>
    <d v="2026-07-07T00:00:00"/>
    <m/>
    <x v="104"/>
    <n v="0.25641999847714753"/>
    <x v="2"/>
    <x v="1"/>
    <x v="1"/>
    <d v="2026-07-13T00:00:00"/>
    <x v="0"/>
  </r>
  <r>
    <x v="0"/>
    <n v="489"/>
    <s v="CANIVETE-RIBAS"/>
    <s v="7"/>
    <n v="33.42"/>
    <n v="33.07"/>
    <d v="2026-01-09T00:00:00"/>
    <d v="2026-05-27T00:00:00"/>
    <m/>
    <x v="105"/>
    <n v="0.16165215627112556"/>
    <x v="0"/>
    <x v="1"/>
    <x v="0"/>
    <d v="2026-06-10T00:00:00"/>
    <x v="0"/>
  </r>
  <r>
    <x v="0"/>
    <n v="489"/>
    <s v="CANIVETE-RIBAS"/>
    <s v="8"/>
    <n v="48.84"/>
    <n v="48.73"/>
    <d v="2026-01-10T00:00:00"/>
    <d v="2026-05-27T00:00:00"/>
    <m/>
    <x v="106"/>
    <n v="0.16288567810302088"/>
    <x v="0"/>
    <x v="1"/>
    <x v="0"/>
    <d v="2026-06-10T00:00:00"/>
    <x v="0"/>
  </r>
  <r>
    <x v="0"/>
    <n v="489"/>
    <s v="CANIVETE-RIBAS"/>
    <s v="9"/>
    <n v="33.68"/>
    <n v="33.659999999999997"/>
    <d v="2026-01-15T00:00:00"/>
    <d v="2026-05-27T00:00:00"/>
    <m/>
    <x v="47"/>
    <n v="0.2118172450208303"/>
    <x v="1"/>
    <x v="1"/>
    <x v="1"/>
    <d v="2026-06-10T00:00:00"/>
    <x v="0"/>
  </r>
  <r>
    <x v="0"/>
    <n v="741"/>
    <s v="SANTA RITA MATTOS"/>
    <s v="1"/>
    <n v="7.65"/>
    <n v="6.68"/>
    <d v="2026-03-13T00:00:00"/>
    <d v="2026-07-13T00:00:00"/>
    <m/>
    <x v="107"/>
    <n v="0.19246501759074688"/>
    <x v="0"/>
    <x v="0"/>
    <x v="0"/>
    <d v="2026-07-13T00:00:00"/>
    <x v="2"/>
  </r>
  <r>
    <x v="0"/>
    <n v="741"/>
    <s v="SANTA RITA MATTOS"/>
    <s v="10"/>
    <n v="11.76"/>
    <n v="11.5"/>
    <d v="2026-03-20T00:00:00"/>
    <d v="2026-07-13T00:00:00"/>
    <m/>
    <x v="108"/>
    <n v="0.15471988784740398"/>
    <x v="0"/>
    <x v="0"/>
    <x v="0"/>
    <d v="2026-07-13T00:00:00"/>
    <x v="2"/>
  </r>
  <r>
    <x v="0"/>
    <n v="741"/>
    <s v="SANTA RITA MATTOS"/>
    <s v="11"/>
    <n v="7.18"/>
    <n v="6.61"/>
    <d v="2026-03-19T00:00:00"/>
    <d v="2026-07-13T00:00:00"/>
    <m/>
    <x v="109"/>
    <n v="0.18726738816234323"/>
    <x v="0"/>
    <x v="0"/>
    <x v="0"/>
    <d v="2026-07-13T00:00:00"/>
    <x v="2"/>
  </r>
  <r>
    <x v="0"/>
    <n v="741"/>
    <s v="SANTA RITA MATTOS"/>
    <s v="12"/>
    <n v="8.91"/>
    <n v="8.35"/>
    <d v="2026-03-19T00:00:00"/>
    <d v="2026-07-13T00:00:00"/>
    <m/>
    <x v="98"/>
    <n v="0.12294170667872943"/>
    <x v="4"/>
    <x v="1"/>
    <x v="0"/>
    <d v="2026-07-13T00:00:00"/>
    <x v="2"/>
  </r>
  <r>
    <x v="0"/>
    <n v="741"/>
    <s v="SANTA RITA MATTOS"/>
    <s v="13"/>
    <n v="7.68"/>
    <n v="7.42"/>
    <d v="2026-03-19T00:00:00"/>
    <d v="2026-07-13T00:00:00"/>
    <m/>
    <x v="24"/>
    <n v="0.132131829940664"/>
    <x v="4"/>
    <x v="0"/>
    <x v="0"/>
    <d v="2026-07-13T00:00:00"/>
    <x v="2"/>
  </r>
  <r>
    <x v="0"/>
    <n v="741"/>
    <s v="SANTA RITA MATTOS"/>
    <s v="14"/>
    <n v="15.82"/>
    <n v="14.31"/>
    <d v="2026-03-02T00:00:00"/>
    <d v="2026-07-13T00:00:00"/>
    <m/>
    <x v="13"/>
    <n v="0.17133321552477659"/>
    <x v="0"/>
    <x v="0"/>
    <x v="0"/>
    <d v="2026-07-13T00:00:00"/>
    <x v="2"/>
  </r>
  <r>
    <x v="0"/>
    <n v="741"/>
    <s v="SANTA RITA MATTOS"/>
    <s v="15"/>
    <n v="13.37"/>
    <n v="13.16"/>
    <d v="2026-03-02T00:00:00"/>
    <d v="2026-07-13T00:00:00"/>
    <m/>
    <x v="23"/>
    <n v="0.15759487806192871"/>
    <x v="0"/>
    <x v="0"/>
    <x v="0"/>
    <d v="2026-07-13T00:00:00"/>
    <x v="2"/>
  </r>
  <r>
    <x v="0"/>
    <n v="741"/>
    <s v="SANTA RITA MATTOS"/>
    <s v="16"/>
    <n v="14.01"/>
    <n v="12.93"/>
    <d v="2026-03-03T00:00:00"/>
    <d v="2026-07-13T00:00:00"/>
    <m/>
    <x v="110"/>
    <n v="0.17014946662234495"/>
    <x v="0"/>
    <x v="0"/>
    <x v="0"/>
    <d v="2026-07-13T00:00:00"/>
    <x v="2"/>
  </r>
  <r>
    <x v="0"/>
    <n v="741"/>
    <s v="SANTA RITA MATTOS"/>
    <s v="17"/>
    <n v="9.48"/>
    <n v="8.49"/>
    <d v="2026-03-03T00:00:00"/>
    <d v="2026-07-13T00:00:00"/>
    <m/>
    <x v="111"/>
    <n v="0.22186566586733439"/>
    <x v="1"/>
    <x v="0"/>
    <x v="1"/>
    <d v="2026-07-13T00:00:00"/>
    <x v="2"/>
  </r>
  <r>
    <x v="0"/>
    <n v="741"/>
    <s v="SANTA RITA MATTOS"/>
    <s v="18"/>
    <n v="10.71"/>
    <n v="10.09"/>
    <d v="2026-03-11T00:00:00"/>
    <d v="2026-07-02T00:00:00"/>
    <m/>
    <x v="111"/>
    <n v="0.15473522305701645"/>
    <x v="0"/>
    <x v="0"/>
    <x v="0"/>
    <d v="2026-07-02T00:00:00"/>
    <x v="2"/>
  </r>
  <r>
    <x v="0"/>
    <n v="741"/>
    <s v="SANTA RITA MATTOS"/>
    <s v="19"/>
    <n v="8.1"/>
    <n v="7.79"/>
    <d v="2026-03-13T00:00:00"/>
    <d v="2026-07-02T00:00:00"/>
    <m/>
    <x v="112"/>
    <n v="0.17112403111513388"/>
    <x v="0"/>
    <x v="0"/>
    <x v="0"/>
    <d v="2026-07-02T00:00:00"/>
    <x v="2"/>
  </r>
  <r>
    <x v="0"/>
    <n v="741"/>
    <s v="SANTA RITA MATTOS"/>
    <s v="2"/>
    <n v="7.9"/>
    <n v="8.1300000000000008"/>
    <d v="2026-03-13T00:00:00"/>
    <d v="2026-07-02T00:00:00"/>
    <m/>
    <x v="113"/>
    <n v="0.14307552096897683"/>
    <x v="4"/>
    <x v="0"/>
    <x v="0"/>
    <d v="2026-07-02T00:00:00"/>
    <x v="2"/>
  </r>
  <r>
    <x v="0"/>
    <n v="741"/>
    <s v="SANTA RITA MATTOS"/>
    <s v="20"/>
    <n v="8.8000000000000007"/>
    <n v="7.84"/>
    <d v="2026-03-13T00:00:00"/>
    <d v="2026-07-02T00:00:00"/>
    <m/>
    <x v="114"/>
    <n v="0.14292377598178962"/>
    <x v="4"/>
    <x v="0"/>
    <x v="0"/>
    <d v="2026-07-02T00:00:00"/>
    <x v="2"/>
  </r>
  <r>
    <x v="0"/>
    <n v="741"/>
    <s v="SANTA RITA MATTOS"/>
    <s v="21"/>
    <n v="9.18"/>
    <n v="8.6999999999999993"/>
    <d v="2026-03-10T00:00:00"/>
    <d v="2026-07-02T00:00:00"/>
    <m/>
    <x v="112"/>
    <n v="0.12677509119131028"/>
    <x v="4"/>
    <x v="0"/>
    <x v="0"/>
    <d v="2026-07-02T00:00:00"/>
    <x v="2"/>
  </r>
  <r>
    <x v="0"/>
    <n v="741"/>
    <s v="SANTA RITA MATTOS"/>
    <s v="22"/>
    <n v="7.51"/>
    <n v="7.09"/>
    <d v="2026-03-11T00:00:00"/>
    <d v="2026-07-02T00:00:00"/>
    <m/>
    <x v="115"/>
    <n v="0.14178860269563653"/>
    <x v="4"/>
    <x v="0"/>
    <x v="0"/>
    <d v="2026-07-02T00:00:00"/>
    <x v="2"/>
  </r>
  <r>
    <x v="0"/>
    <n v="741"/>
    <s v="SANTA RITA MATTOS"/>
    <s v="23"/>
    <n v="8.41"/>
    <n v="7.86"/>
    <d v="2026-03-05T00:00:00"/>
    <d v="2026-07-02T00:00:00"/>
    <m/>
    <x v="116"/>
    <n v="0.19139228643482795"/>
    <x v="0"/>
    <x v="0"/>
    <x v="0"/>
    <d v="2026-07-02T00:00:00"/>
    <x v="2"/>
  </r>
  <r>
    <x v="0"/>
    <n v="741"/>
    <s v="SANTA RITA MATTOS"/>
    <s v="24"/>
    <n v="15.01"/>
    <n v="14.45"/>
    <d v="2026-03-09T00:00:00"/>
    <d v="2026-07-02T00:00:00"/>
    <m/>
    <x v="117"/>
    <n v="0.11455062486590967"/>
    <x v="4"/>
    <x v="0"/>
    <x v="0"/>
    <d v="2026-07-02T00:00:00"/>
    <x v="2"/>
  </r>
  <r>
    <x v="0"/>
    <n v="741"/>
    <s v="SANTA RITA MATTOS"/>
    <s v="25"/>
    <n v="12.57"/>
    <n v="12.01"/>
    <d v="2026-03-10T00:00:00"/>
    <d v="2026-07-02T00:00:00"/>
    <m/>
    <x v="118"/>
    <n v="0.11225464411450518"/>
    <x v="4"/>
    <x v="0"/>
    <x v="0"/>
    <d v="2026-07-02T00:00:00"/>
    <x v="2"/>
  </r>
  <r>
    <x v="0"/>
    <n v="741"/>
    <s v="SANTA RITA MATTOS"/>
    <s v="3"/>
    <n v="11.99"/>
    <n v="10.6"/>
    <d v="2026-03-15T00:00:00"/>
    <d v="2026-07-13T00:00:00"/>
    <m/>
    <x v="119"/>
    <n v="0.15902132507912456"/>
    <x v="0"/>
    <x v="1"/>
    <x v="0"/>
    <d v="2026-07-13T00:00:00"/>
    <x v="2"/>
  </r>
  <r>
    <x v="0"/>
    <n v="741"/>
    <s v="SANTA RITA MATTOS"/>
    <s v="4"/>
    <n v="7.01"/>
    <n v="6.49"/>
    <d v="2026-03-16T00:00:00"/>
    <d v="2026-07-13T00:00:00"/>
    <m/>
    <x v="23"/>
    <n v="0.21273628990566595"/>
    <x v="1"/>
    <x v="0"/>
    <x v="1"/>
    <d v="2026-07-13T00:00:00"/>
    <x v="2"/>
  </r>
  <r>
    <x v="0"/>
    <n v="741"/>
    <s v="SANTA RITA MATTOS"/>
    <s v="5"/>
    <n v="9.48"/>
    <n v="8.82"/>
    <d v="2026-03-16T00:00:00"/>
    <d v="2026-07-02T00:00:00"/>
    <m/>
    <x v="120"/>
    <n v="8.6791664403174318E-2"/>
    <x v="7"/>
    <x v="0"/>
    <x v="0"/>
    <d v="2026-07-02T00:00:00"/>
    <x v="2"/>
  </r>
  <r>
    <x v="0"/>
    <n v="741"/>
    <s v="SANTA RITA MATTOS"/>
    <s v="6"/>
    <n v="8.25"/>
    <n v="7.77"/>
    <d v="2026-03-15T00:00:00"/>
    <d v="2026-07-13T00:00:00"/>
    <m/>
    <x v="107"/>
    <n v="0.18385854706336505"/>
    <x v="0"/>
    <x v="0"/>
    <x v="0"/>
    <d v="2026-07-13T00:00:00"/>
    <x v="2"/>
  </r>
  <r>
    <x v="0"/>
    <n v="741"/>
    <s v="SANTA RITA MATTOS"/>
    <s v="7"/>
    <n v="5.03"/>
    <n v="4.79"/>
    <d v="2026-03-18T00:00:00"/>
    <d v="2026-07-13T00:00:00"/>
    <m/>
    <x v="121"/>
    <n v="0.15927092117489278"/>
    <x v="0"/>
    <x v="1"/>
    <x v="0"/>
    <d v="2026-07-13T00:00:00"/>
    <x v="2"/>
  </r>
  <r>
    <x v="0"/>
    <n v="741"/>
    <s v="SANTA RITA MATTOS"/>
    <s v="8"/>
    <n v="11.45"/>
    <n v="11.15"/>
    <d v="2026-03-18T00:00:00"/>
    <d v="2026-07-13T00:00:00"/>
    <m/>
    <x v="122"/>
    <n v="0.19089523055352645"/>
    <x v="0"/>
    <x v="0"/>
    <x v="0"/>
    <d v="2026-07-13T00:00:00"/>
    <x v="2"/>
  </r>
  <r>
    <x v="0"/>
    <n v="741"/>
    <s v="SANTA RITA MATTOS"/>
    <s v="9"/>
    <n v="8.51"/>
    <n v="8.1300000000000008"/>
    <d v="2026-03-18T00:00:00"/>
    <d v="2026-07-13T00:00:00"/>
    <m/>
    <x v="113"/>
    <n v="0.20834056059849224"/>
    <x v="1"/>
    <x v="0"/>
    <x v="1"/>
    <d v="2026-07-13T00:00:00"/>
    <x v="2"/>
  </r>
  <r>
    <x v="0"/>
    <n v="759"/>
    <s v="VITORIA VEDUVOTO"/>
    <s v="1"/>
    <n v="24.84"/>
    <n v="23.55"/>
    <d v="2026-03-06T00:00:00"/>
    <d v="2026-07-15T00:00:00"/>
    <m/>
    <x v="123"/>
    <n v="0.20907254165268943"/>
    <x v="1"/>
    <x v="0"/>
    <x v="1"/>
    <d v="2026-07-30T00:00:00"/>
    <x v="1"/>
  </r>
  <r>
    <x v="0"/>
    <n v="759"/>
    <s v="VITORIA VEDUVOTO"/>
    <s v="10"/>
    <n v="27.54"/>
    <m/>
    <d v="2026-03-27T00:00:00"/>
    <d v="2026-07-15T00:00:00"/>
    <m/>
    <x v="124"/>
    <m/>
    <x v="6"/>
    <x v="3"/>
    <x v="2"/>
    <d v="2026-07-30T00:00:00"/>
    <x v="1"/>
  </r>
  <r>
    <x v="0"/>
    <n v="759"/>
    <s v="VITORIA VEDUVOTO"/>
    <s v="11"/>
    <n v="17.14"/>
    <m/>
    <d v="2026-04-01T00:00:00"/>
    <d v="2026-07-15T00:00:00"/>
    <m/>
    <x v="124"/>
    <m/>
    <x v="6"/>
    <x v="3"/>
    <x v="2"/>
    <d v="2026-07-30T00:00:00"/>
    <x v="1"/>
  </r>
  <r>
    <x v="0"/>
    <n v="759"/>
    <s v="VITORIA VEDUVOTO"/>
    <s v="12"/>
    <n v="4.5"/>
    <m/>
    <d v="2026-04-01T00:00:00"/>
    <d v="2026-07-15T00:00:00"/>
    <m/>
    <x v="124"/>
    <m/>
    <x v="6"/>
    <x v="3"/>
    <x v="2"/>
    <d v="2026-07-30T00:00:00"/>
    <x v="1"/>
  </r>
  <r>
    <x v="0"/>
    <n v="759"/>
    <s v="VITORIA VEDUVOTO"/>
    <s v="13"/>
    <n v="5.07"/>
    <m/>
    <d v="2026-04-02T00:00:00"/>
    <d v="2026-07-15T00:00:00"/>
    <m/>
    <x v="124"/>
    <m/>
    <x v="6"/>
    <x v="3"/>
    <x v="2"/>
    <d v="2026-07-30T00:00:00"/>
    <x v="1"/>
  </r>
  <r>
    <x v="0"/>
    <n v="759"/>
    <s v="VITORIA VEDUVOTO"/>
    <s v="2"/>
    <n v="16.16"/>
    <n v="15.38"/>
    <d v="2026-03-09T00:00:00"/>
    <d v="2026-07-15T00:00:00"/>
    <m/>
    <x v="125"/>
    <n v="0.23084121050525547"/>
    <x v="1"/>
    <x v="0"/>
    <x v="1"/>
    <d v="2026-07-30T00:00:00"/>
    <x v="1"/>
  </r>
  <r>
    <x v="0"/>
    <n v="759"/>
    <s v="VITORIA VEDUVOTO"/>
    <s v="3"/>
    <n v="32.56"/>
    <n v="31.94"/>
    <d v="2026-03-11T00:00:00"/>
    <d v="2026-07-15T00:00:00"/>
    <m/>
    <x v="126"/>
    <n v="0.18119427545084801"/>
    <x v="0"/>
    <x v="0"/>
    <x v="0"/>
    <d v="2026-07-30T00:00:00"/>
    <x v="1"/>
  </r>
  <r>
    <x v="0"/>
    <n v="759"/>
    <s v="VITORIA VEDUVOTO"/>
    <s v="4"/>
    <n v="19.71"/>
    <n v="18.260000000000002"/>
    <d v="2026-03-13T00:00:00"/>
    <d v="2026-07-15T00:00:00"/>
    <m/>
    <x v="127"/>
    <n v="0.3000609568303495"/>
    <x v="3"/>
    <x v="0"/>
    <x v="1"/>
    <d v="2026-07-30T00:00:00"/>
    <x v="1"/>
  </r>
  <r>
    <x v="0"/>
    <n v="759"/>
    <s v="VITORIA VEDUVOTO"/>
    <s v="5"/>
    <n v="16.420000000000002"/>
    <n v="13.56"/>
    <d v="2026-03-16T00:00:00"/>
    <d v="2026-07-15T00:00:00"/>
    <m/>
    <x v="128"/>
    <n v="0.19690631224211083"/>
    <x v="0"/>
    <x v="0"/>
    <x v="0"/>
    <d v="2026-07-30T00:00:00"/>
    <x v="1"/>
  </r>
  <r>
    <x v="0"/>
    <n v="759"/>
    <s v="VITORIA VEDUVOTO"/>
    <s v="6"/>
    <n v="10.55"/>
    <n v="9.51"/>
    <d v="2026-03-17T00:00:00"/>
    <d v="2026-07-15T00:00:00"/>
    <m/>
    <x v="129"/>
    <n v="0.36471607989674409"/>
    <x v="5"/>
    <x v="0"/>
    <x v="1"/>
    <d v="2026-07-30T00:00:00"/>
    <x v="1"/>
  </r>
  <r>
    <x v="0"/>
    <n v="759"/>
    <s v="VITORIA VEDUVOTO"/>
    <s v="7"/>
    <n v="3.73"/>
    <n v="3.41"/>
    <d v="2026-03-17T00:00:00"/>
    <d v="2026-07-15T00:00:00"/>
    <m/>
    <x v="130"/>
    <n v="0.16837029642873458"/>
    <x v="0"/>
    <x v="0"/>
    <x v="0"/>
    <d v="2026-07-30T00:00:00"/>
    <x v="1"/>
  </r>
  <r>
    <x v="0"/>
    <n v="759"/>
    <s v="VITORIA VEDUVOTO"/>
    <s v="8"/>
    <n v="18.41"/>
    <n v="17.14"/>
    <d v="2026-03-19T00:00:00"/>
    <d v="2026-07-15T00:00:00"/>
    <m/>
    <x v="131"/>
    <n v="0.24292506614988518"/>
    <x v="1"/>
    <x v="0"/>
    <x v="1"/>
    <d v="2026-07-30T00:00:00"/>
    <x v="1"/>
  </r>
  <r>
    <x v="0"/>
    <n v="759"/>
    <s v="VITORIA VEDUVOTO"/>
    <s v="9"/>
    <n v="14.8"/>
    <n v="13.5"/>
    <d v="2026-03-18T00:00:00"/>
    <d v="2026-07-15T00:00:00"/>
    <m/>
    <x v="24"/>
    <n v="0.2503445796103938"/>
    <x v="2"/>
    <x v="0"/>
    <x v="1"/>
    <d v="2026-07-30T00:00:00"/>
    <x v="1"/>
  </r>
  <r>
    <x v="0"/>
    <n v="761"/>
    <s v="CORREGO DO OURO"/>
    <s v="10"/>
    <n v="4.79"/>
    <m/>
    <d v="2026-03-31T00:00:00"/>
    <d v="2026-07-29T00:00:00"/>
    <m/>
    <x v="124"/>
    <m/>
    <x v="6"/>
    <x v="3"/>
    <x v="2"/>
    <d v="2026-07-30T00:00:00"/>
    <x v="2"/>
  </r>
  <r>
    <x v="0"/>
    <n v="761"/>
    <s v="CORREGO DO OURO"/>
    <s v="11"/>
    <n v="10.08"/>
    <n v="9.94"/>
    <d v="2026-03-21T00:00:00"/>
    <d v="2026-07-29T00:00:00"/>
    <m/>
    <x v="118"/>
    <n v="0.22758674939788112"/>
    <x v="1"/>
    <x v="0"/>
    <x v="1"/>
    <d v="2026-07-30T00:00:00"/>
    <x v="2"/>
  </r>
  <r>
    <x v="0"/>
    <n v="761"/>
    <s v="CORREGO DO OURO"/>
    <s v="12"/>
    <n v="10.92"/>
    <n v="10.66"/>
    <d v="2026-03-21T00:00:00"/>
    <d v="2026-07-29T00:00:00"/>
    <m/>
    <x v="120"/>
    <n v="0.2398004321373142"/>
    <x v="1"/>
    <x v="0"/>
    <x v="1"/>
    <d v="2026-07-30T00:00:00"/>
    <x v="2"/>
  </r>
  <r>
    <x v="0"/>
    <n v="761"/>
    <s v="CORREGO DO OURO"/>
    <s v="13"/>
    <n v="15.83"/>
    <m/>
    <d v="2026-03-31T00:00:00"/>
    <d v="2026-07-29T00:00:00"/>
    <m/>
    <x v="124"/>
    <m/>
    <x v="6"/>
    <x v="3"/>
    <x v="2"/>
    <d v="2026-07-30T00:00:00"/>
    <x v="2"/>
  </r>
  <r>
    <x v="0"/>
    <n v="761"/>
    <s v="CORREGO DO OURO"/>
    <s v="14"/>
    <n v="9.27"/>
    <m/>
    <d v="2026-04-02T00:00:00"/>
    <d v="2026-07-29T00:00:00"/>
    <m/>
    <x v="124"/>
    <m/>
    <x v="6"/>
    <x v="3"/>
    <x v="2"/>
    <d v="2026-07-30T00:00:00"/>
    <x v="2"/>
  </r>
  <r>
    <x v="0"/>
    <n v="761"/>
    <s v="CORREGO DO OURO"/>
    <s v="15"/>
    <n v="7.19"/>
    <m/>
    <d v="2026-04-02T00:00:00"/>
    <d v="2026-07-29T00:00:00"/>
    <m/>
    <x v="124"/>
    <m/>
    <x v="6"/>
    <x v="3"/>
    <x v="2"/>
    <d v="2026-07-30T00:00:00"/>
    <x v="2"/>
  </r>
  <r>
    <x v="0"/>
    <n v="761"/>
    <s v="CORREGO DO OURO"/>
    <s v="17"/>
    <n v="18.18"/>
    <m/>
    <d v="2026-04-07T00:00:00"/>
    <d v="2026-07-29T00:00:00"/>
    <m/>
    <x v="124"/>
    <m/>
    <x v="6"/>
    <x v="3"/>
    <x v="2"/>
    <d v="2026-07-30T00:00:00"/>
    <x v="2"/>
  </r>
  <r>
    <x v="0"/>
    <n v="761"/>
    <s v="CORREGO DO OURO"/>
    <s v="18"/>
    <n v="20.2"/>
    <m/>
    <d v="2026-04-08T00:00:00"/>
    <d v="2026-07-29T00:00:00"/>
    <m/>
    <x v="124"/>
    <m/>
    <x v="6"/>
    <x v="3"/>
    <x v="2"/>
    <d v="2026-07-30T00:00:00"/>
    <x v="2"/>
  </r>
  <r>
    <x v="0"/>
    <n v="761"/>
    <s v="CORREGO DO OURO"/>
    <s v="19"/>
    <n v="8.56"/>
    <m/>
    <d v="2026-04-13T00:00:00"/>
    <d v="2026-07-29T00:00:00"/>
    <m/>
    <x v="124"/>
    <m/>
    <x v="6"/>
    <x v="3"/>
    <x v="2"/>
    <d v="2026-07-30T00:00:00"/>
    <x v="2"/>
  </r>
  <r>
    <x v="0"/>
    <n v="761"/>
    <s v="CORREGO DO OURO"/>
    <s v="20"/>
    <n v="5.78"/>
    <m/>
    <d v="2026-04-13T00:00:00"/>
    <d v="2026-07-29T00:00:00"/>
    <m/>
    <x v="124"/>
    <m/>
    <x v="6"/>
    <x v="3"/>
    <x v="2"/>
    <d v="2026-07-30T00:00:00"/>
    <x v="2"/>
  </r>
  <r>
    <x v="0"/>
    <n v="761"/>
    <s v="CORREGO DO OURO"/>
    <s v="21"/>
    <n v="14.24"/>
    <m/>
    <d v="2026-04-11T00:00:00"/>
    <d v="2026-07-29T00:00:00"/>
    <m/>
    <x v="124"/>
    <m/>
    <x v="6"/>
    <x v="3"/>
    <x v="2"/>
    <d v="2026-07-30T00:00:00"/>
    <x v="2"/>
  </r>
  <r>
    <x v="0"/>
    <n v="761"/>
    <s v="CORREGO DO OURO"/>
    <s v="22"/>
    <n v="12.2"/>
    <m/>
    <d v="2026-04-10T00:00:00"/>
    <d v="2026-07-29T00:00:00"/>
    <m/>
    <x v="124"/>
    <m/>
    <x v="6"/>
    <x v="3"/>
    <x v="2"/>
    <d v="2026-07-30T00:00:00"/>
    <x v="2"/>
  </r>
  <r>
    <x v="0"/>
    <n v="761"/>
    <s v="CORREGO DO OURO"/>
    <s v="23"/>
    <n v="8.7200000000000006"/>
    <m/>
    <d v="2026-04-09T00:00:00"/>
    <d v="2026-07-29T00:00:00"/>
    <m/>
    <x v="124"/>
    <m/>
    <x v="6"/>
    <x v="3"/>
    <x v="2"/>
    <d v="2026-07-30T00:00:00"/>
    <x v="2"/>
  </r>
  <r>
    <x v="0"/>
    <n v="761"/>
    <s v="CORREGO DO OURO"/>
    <s v="3"/>
    <n v="23.6"/>
    <n v="22.72"/>
    <d v="2026-03-25T00:00:00"/>
    <d v="2026-07-29T00:00:00"/>
    <m/>
    <x v="3"/>
    <m/>
    <x v="6"/>
    <x v="1"/>
    <x v="2"/>
    <d v="2026-07-30T00:00:00"/>
    <x v="2"/>
  </r>
  <r>
    <x v="0"/>
    <n v="761"/>
    <s v="CORREGO DO OURO"/>
    <s v="4"/>
    <n v="30.84"/>
    <m/>
    <d v="2026-03-30T00:00:00"/>
    <d v="2026-07-29T00:00:00"/>
    <m/>
    <x v="124"/>
    <m/>
    <x v="6"/>
    <x v="3"/>
    <x v="2"/>
    <d v="2026-07-30T00:00:00"/>
    <x v="2"/>
  </r>
  <r>
    <x v="0"/>
    <n v="761"/>
    <s v="CORREGO DO OURO"/>
    <s v="5"/>
    <n v="34.46"/>
    <n v="34.03"/>
    <d v="2026-03-26T00:00:00"/>
    <d v="2026-07-29T00:00:00"/>
    <m/>
    <x v="132"/>
    <m/>
    <x v="6"/>
    <x v="0"/>
    <x v="2"/>
    <d v="2026-07-30T00:00:00"/>
    <x v="2"/>
  </r>
  <r>
    <x v="0"/>
    <n v="761"/>
    <s v="CORREGO DO OURO"/>
    <s v="6"/>
    <n v="13.82"/>
    <n v="13.08"/>
    <d v="2026-03-28T00:00:00"/>
    <d v="2026-07-29T00:00:00"/>
    <m/>
    <x v="133"/>
    <m/>
    <x v="6"/>
    <x v="0"/>
    <x v="2"/>
    <d v="2026-07-30T00:00:00"/>
    <x v="2"/>
  </r>
  <r>
    <x v="0"/>
    <n v="761"/>
    <s v="CORREGO DO OURO"/>
    <s v="7"/>
    <n v="10.99"/>
    <n v="10.95"/>
    <d v="2026-03-22T00:00:00"/>
    <d v="2026-07-29T00:00:00"/>
    <m/>
    <x v="134"/>
    <n v="0.14753756993761155"/>
    <x v="4"/>
    <x v="1"/>
    <x v="0"/>
    <d v="2026-07-30T00:00:00"/>
    <x v="2"/>
  </r>
  <r>
    <x v="0"/>
    <n v="761"/>
    <s v="CORREGO DO OURO"/>
    <s v="8"/>
    <n v="8.35"/>
    <n v="8.6199999999999992"/>
    <d v="2026-03-21T00:00:00"/>
    <d v="2026-07-29T00:00:00"/>
    <m/>
    <x v="130"/>
    <n v="0.16222534048891554"/>
    <x v="0"/>
    <x v="0"/>
    <x v="0"/>
    <d v="2026-07-30T00:00:00"/>
    <x v="2"/>
  </r>
  <r>
    <x v="0"/>
    <n v="761"/>
    <s v="CORREGO DO OURO"/>
    <s v="9"/>
    <n v="14.94"/>
    <n v="14.22"/>
    <d v="2026-03-20T00:00:00"/>
    <d v="2026-07-29T00:00:00"/>
    <m/>
    <x v="35"/>
    <n v="0.1446481054953381"/>
    <x v="4"/>
    <x v="0"/>
    <x v="0"/>
    <d v="2026-07-30T00:00:00"/>
    <x v="2"/>
  </r>
  <r>
    <x v="1"/>
    <n v="134"/>
    <s v="NEVADA GEÓRGIA"/>
    <s v="10"/>
    <n v="18.41"/>
    <m/>
    <d v="2026-06-04T00:00:00"/>
    <m/>
    <d v="2026-10-02T00:00:00"/>
    <x v="1"/>
    <n v="0.20974888569089686"/>
    <x v="1"/>
    <x v="1"/>
    <x v="1"/>
    <m/>
    <x v="0"/>
  </r>
  <r>
    <x v="1"/>
    <n v="134"/>
    <s v="NEVADA GEÓRGIA"/>
    <s v="11"/>
    <n v="30.45"/>
    <m/>
    <d v="2026-06-02T00:00:00"/>
    <m/>
    <d v="2026-09-30T00:00:00"/>
    <x v="124"/>
    <m/>
    <x v="6"/>
    <x v="3"/>
    <x v="2"/>
    <m/>
    <x v="0"/>
  </r>
  <r>
    <x v="1"/>
    <n v="134"/>
    <s v="NEVADA GEÓRGIA"/>
    <s v="12"/>
    <n v="20.93"/>
    <m/>
    <d v="2026-06-12T00:00:00"/>
    <m/>
    <d v="2026-10-10T00:00:00"/>
    <x v="2"/>
    <n v="0.20880140775206668"/>
    <x v="1"/>
    <x v="1"/>
    <x v="1"/>
    <m/>
    <x v="0"/>
  </r>
  <r>
    <x v="1"/>
    <n v="134"/>
    <s v="NEVADA GEÓRGIA"/>
    <s v="13"/>
    <n v="28.82"/>
    <m/>
    <d v="2026-06-03T00:00:00"/>
    <m/>
    <d v="2026-10-01T00:00:00"/>
    <x v="124"/>
    <m/>
    <x v="6"/>
    <x v="3"/>
    <x v="2"/>
    <m/>
    <x v="0"/>
  </r>
  <r>
    <x v="1"/>
    <n v="134"/>
    <s v="NEVADA GEÓRGIA"/>
    <s v="16"/>
    <n v="29.09"/>
    <n v="29.24"/>
    <d v="2026-03-21T00:00:00"/>
    <m/>
    <d v="2026-07-19T00:00:00"/>
    <x v="6"/>
    <m/>
    <x v="6"/>
    <x v="1"/>
    <x v="2"/>
    <m/>
    <x v="0"/>
  </r>
  <r>
    <x v="1"/>
    <n v="134"/>
    <s v="NEVADA GEÓRGIA"/>
    <s v="17"/>
    <n v="35"/>
    <m/>
    <d v="2026-04-13T00:00:00"/>
    <m/>
    <d v="2026-08-11T00:00:00"/>
    <x v="124"/>
    <m/>
    <x v="6"/>
    <x v="3"/>
    <x v="2"/>
    <m/>
    <x v="0"/>
  </r>
  <r>
    <x v="1"/>
    <n v="134"/>
    <s v="NEVADA GEÓRGIA"/>
    <s v="18"/>
    <n v="41.12"/>
    <m/>
    <d v="2026-05-12T00:00:00"/>
    <m/>
    <d v="2026-09-09T00:00:00"/>
    <x v="124"/>
    <m/>
    <x v="6"/>
    <x v="3"/>
    <x v="2"/>
    <m/>
    <x v="0"/>
  </r>
  <r>
    <x v="1"/>
    <n v="134"/>
    <s v="NEVADA GEÓRGIA"/>
    <s v="19"/>
    <n v="50.09"/>
    <m/>
    <d v="2026-06-08T00:00:00"/>
    <m/>
    <d v="2026-10-06T00:00:00"/>
    <x v="124"/>
    <m/>
    <x v="6"/>
    <x v="3"/>
    <x v="2"/>
    <m/>
    <x v="0"/>
  </r>
  <r>
    <x v="1"/>
    <n v="134"/>
    <s v="NEVADA GEÓRGIA"/>
    <s v="22"/>
    <n v="36.5"/>
    <m/>
    <d v="2026-04-09T00:00:00"/>
    <m/>
    <d v="2026-08-07T00:00:00"/>
    <x v="124"/>
    <m/>
    <x v="6"/>
    <x v="3"/>
    <x v="2"/>
    <m/>
    <x v="0"/>
  </r>
  <r>
    <x v="1"/>
    <n v="134"/>
    <s v="NEVADA GEÓRGIA"/>
    <s v="23"/>
    <n v="69.88"/>
    <m/>
    <d v="2026-06-11T00:00:00"/>
    <m/>
    <d v="2026-10-09T00:00:00"/>
    <x v="124"/>
    <m/>
    <x v="6"/>
    <x v="3"/>
    <x v="2"/>
    <m/>
    <x v="0"/>
  </r>
  <r>
    <x v="1"/>
    <n v="134"/>
    <s v="NEVADA GEÓRGIA"/>
    <s v="24"/>
    <n v="54.97"/>
    <m/>
    <d v="2026-04-16T00:00:00"/>
    <m/>
    <d v="2026-08-14T00:00:00"/>
    <x v="124"/>
    <m/>
    <x v="6"/>
    <x v="3"/>
    <x v="2"/>
    <m/>
    <x v="0"/>
  </r>
  <r>
    <x v="1"/>
    <n v="134"/>
    <s v="NEVADA GEÓRGIA"/>
    <s v="25"/>
    <n v="53.27"/>
    <m/>
    <d v="2026-04-17T00:00:00"/>
    <m/>
    <d v="2026-08-15T00:00:00"/>
    <x v="124"/>
    <m/>
    <x v="6"/>
    <x v="3"/>
    <x v="2"/>
    <m/>
    <x v="0"/>
  </r>
  <r>
    <x v="1"/>
    <n v="134"/>
    <s v="NEVADA GEÓRGIA"/>
    <s v="26"/>
    <n v="42.86"/>
    <m/>
    <d v="2026-04-18T00:00:00"/>
    <m/>
    <d v="2026-08-16T00:00:00"/>
    <x v="124"/>
    <m/>
    <x v="6"/>
    <x v="3"/>
    <x v="2"/>
    <m/>
    <x v="0"/>
  </r>
  <r>
    <x v="1"/>
    <n v="134"/>
    <s v="NEVADA GEÓRGIA"/>
    <s v="28"/>
    <n v="32.1"/>
    <m/>
    <d v="2026-04-08T00:00:00"/>
    <m/>
    <d v="2026-08-06T00:00:00"/>
    <x v="124"/>
    <m/>
    <x v="6"/>
    <x v="3"/>
    <x v="2"/>
    <m/>
    <x v="0"/>
  </r>
  <r>
    <x v="1"/>
    <n v="134"/>
    <s v="NEVADA GEÓRGIA"/>
    <s v="29"/>
    <n v="24.9"/>
    <m/>
    <d v="2026-04-09T00:00:00"/>
    <m/>
    <d v="2026-08-07T00:00:00"/>
    <x v="124"/>
    <m/>
    <x v="6"/>
    <x v="3"/>
    <x v="2"/>
    <m/>
    <x v="0"/>
  </r>
  <r>
    <x v="1"/>
    <n v="134"/>
    <s v="NEVADA GEÓRGIA"/>
    <s v="30"/>
    <n v="13.03"/>
    <n v="13.01"/>
    <d v="2026-03-24T00:00:00"/>
    <m/>
    <d v="2026-07-22T00:00:00"/>
    <x v="135"/>
    <m/>
    <x v="6"/>
    <x v="0"/>
    <x v="2"/>
    <m/>
    <x v="0"/>
  </r>
  <r>
    <x v="1"/>
    <n v="134"/>
    <s v="NEVADA GEÓRGIA"/>
    <s v="31"/>
    <n v="38.549999999999997"/>
    <m/>
    <d v="2026-03-31T00:00:00"/>
    <m/>
    <d v="2026-07-29T00:00:00"/>
    <x v="124"/>
    <m/>
    <x v="6"/>
    <x v="3"/>
    <x v="2"/>
    <m/>
    <x v="0"/>
  </r>
  <r>
    <x v="1"/>
    <n v="134"/>
    <s v="NEVADA GEÓRGIA"/>
    <s v="33"/>
    <n v="29.76"/>
    <m/>
    <d v="2026-03-28T00:00:00"/>
    <m/>
    <d v="2026-07-26T00:00:00"/>
    <x v="124"/>
    <m/>
    <x v="6"/>
    <x v="3"/>
    <x v="2"/>
    <m/>
    <x v="0"/>
  </r>
  <r>
    <x v="1"/>
    <n v="134"/>
    <s v="NEVADA GEÓRGIA"/>
    <s v="34"/>
    <n v="10.75"/>
    <n v="38.450000000000003"/>
    <d v="2026-03-24T00:00:00"/>
    <m/>
    <d v="2026-07-22T00:00:00"/>
    <x v="136"/>
    <m/>
    <x v="6"/>
    <x v="2"/>
    <x v="2"/>
    <m/>
    <x v="0"/>
  </r>
  <r>
    <x v="1"/>
    <n v="134"/>
    <s v="NEVADA GEÓRGIA"/>
    <s v="35"/>
    <n v="56.01"/>
    <m/>
    <d v="2026-04-06T00:00:00"/>
    <m/>
    <d v="2026-08-04T00:00:00"/>
    <x v="124"/>
    <m/>
    <x v="6"/>
    <x v="3"/>
    <x v="2"/>
    <m/>
    <x v="0"/>
  </r>
  <r>
    <x v="1"/>
    <n v="134"/>
    <s v="NEVADA GEÓRGIA"/>
    <s v="36"/>
    <n v="38.71"/>
    <m/>
    <d v="2026-04-14T00:00:00"/>
    <m/>
    <d v="2026-08-12T00:00:00"/>
    <x v="124"/>
    <m/>
    <x v="6"/>
    <x v="3"/>
    <x v="2"/>
    <m/>
    <x v="0"/>
  </r>
  <r>
    <x v="1"/>
    <n v="134"/>
    <s v="NEVADA GEÓRGIA"/>
    <s v="37"/>
    <n v="35.119999999999997"/>
    <m/>
    <d v="2026-04-15T00:00:00"/>
    <m/>
    <d v="2026-08-13T00:00:00"/>
    <x v="124"/>
    <m/>
    <x v="6"/>
    <x v="3"/>
    <x v="2"/>
    <m/>
    <x v="0"/>
  </r>
  <r>
    <x v="1"/>
    <n v="166"/>
    <s v="BOM RETIRO GLEBAS A2B2"/>
    <s v="10"/>
    <n v="12.82"/>
    <m/>
    <d v="2026-04-13T00:00:00"/>
    <m/>
    <d v="2026-08-11T00:00:00"/>
    <x v="124"/>
    <m/>
    <x v="6"/>
    <x v="3"/>
    <x v="2"/>
    <m/>
    <x v="0"/>
  </r>
  <r>
    <x v="1"/>
    <n v="166"/>
    <s v="BOM RETIRO GLEBAS A2B2"/>
    <s v="11"/>
    <n v="46.77"/>
    <n v="46.25"/>
    <d v="2026-03-12T00:00:00"/>
    <m/>
    <d v="2026-07-10T00:00:00"/>
    <x v="137"/>
    <n v="0.17229294008235155"/>
    <x v="0"/>
    <x v="0"/>
    <x v="0"/>
    <m/>
    <x v="0"/>
  </r>
  <r>
    <x v="1"/>
    <n v="166"/>
    <s v="BOM RETIRO GLEBAS A2B2"/>
    <s v="12"/>
    <n v="53.79"/>
    <n v="52.17"/>
    <d v="2026-04-02T00:00:00"/>
    <m/>
    <d v="2026-07-31T00:00:00"/>
    <x v="124"/>
    <n v="0.16133918958109869"/>
    <x v="0"/>
    <x v="3"/>
    <x v="0"/>
    <m/>
    <x v="0"/>
  </r>
  <r>
    <x v="1"/>
    <n v="166"/>
    <s v="BOM RETIRO GLEBAS A2B2"/>
    <s v="13"/>
    <n v="51.97"/>
    <n v="51.74"/>
    <d v="2026-02-19T00:00:00"/>
    <m/>
    <d v="2026-06-19T00:00:00"/>
    <x v="23"/>
    <n v="0.16859552736736425"/>
    <x v="0"/>
    <x v="0"/>
    <x v="0"/>
    <m/>
    <x v="0"/>
  </r>
  <r>
    <x v="1"/>
    <n v="166"/>
    <s v="BOM RETIRO GLEBAS A2B2"/>
    <s v="14"/>
    <n v="57.82"/>
    <n v="56.9"/>
    <d v="2026-02-18T00:00:00"/>
    <m/>
    <d v="2026-06-18T00:00:00"/>
    <x v="138"/>
    <n v="0.19065110176245645"/>
    <x v="0"/>
    <x v="1"/>
    <x v="0"/>
    <m/>
    <x v="0"/>
  </r>
  <r>
    <x v="1"/>
    <n v="166"/>
    <s v="BOM RETIRO GLEBAS A2B2"/>
    <s v="14A"/>
    <n v="57.3"/>
    <n v="56.62"/>
    <d v="2026-04-08T00:00:00"/>
    <m/>
    <d v="2026-08-06T00:00:00"/>
    <x v="124"/>
    <m/>
    <x v="6"/>
    <x v="3"/>
    <x v="2"/>
    <m/>
    <x v="0"/>
  </r>
  <r>
    <x v="1"/>
    <n v="166"/>
    <s v="BOM RETIRO GLEBAS A2B2"/>
    <s v="15"/>
    <n v="66.02"/>
    <n v="64.3"/>
    <d v="2026-04-07T00:00:00"/>
    <m/>
    <d v="2026-08-05T00:00:00"/>
    <x v="124"/>
    <m/>
    <x v="6"/>
    <x v="3"/>
    <x v="2"/>
    <m/>
    <x v="0"/>
  </r>
  <r>
    <x v="1"/>
    <n v="166"/>
    <s v="BOM RETIRO GLEBAS A2B2"/>
    <s v="15A"/>
    <n v="58.18"/>
    <n v="57.94"/>
    <d v="2026-03-13T00:00:00"/>
    <m/>
    <d v="2026-07-11T00:00:00"/>
    <x v="139"/>
    <n v="0.15985701661352011"/>
    <x v="0"/>
    <x v="1"/>
    <x v="0"/>
    <m/>
    <x v="0"/>
  </r>
  <r>
    <x v="1"/>
    <n v="166"/>
    <s v="BOM RETIRO GLEBAS A2B2"/>
    <s v="17"/>
    <n v="53.21"/>
    <n v="36.83"/>
    <d v="2026-03-20T00:00:00"/>
    <m/>
    <d v="2026-07-18T00:00:00"/>
    <x v="140"/>
    <n v="0.25646935509395941"/>
    <x v="2"/>
    <x v="1"/>
    <x v="1"/>
    <m/>
    <x v="0"/>
  </r>
  <r>
    <x v="1"/>
    <n v="166"/>
    <s v="BOM RETIRO GLEBAS A2B2"/>
    <s v="18"/>
    <n v="45.09"/>
    <n v="44.07"/>
    <d v="2026-03-20T00:00:00"/>
    <m/>
    <d v="2026-07-18T00:00:00"/>
    <x v="141"/>
    <n v="0.19540400087195642"/>
    <x v="0"/>
    <x v="1"/>
    <x v="0"/>
    <m/>
    <x v="0"/>
  </r>
  <r>
    <x v="1"/>
    <n v="166"/>
    <s v="BOM RETIRO GLEBAS A2B2"/>
    <s v="18A"/>
    <n v="39.06"/>
    <n v="39.82"/>
    <d v="2026-03-03T00:00:00"/>
    <m/>
    <d v="2026-07-01T00:00:00"/>
    <x v="142"/>
    <n v="0.26037344291840875"/>
    <x v="2"/>
    <x v="4"/>
    <x v="1"/>
    <m/>
    <x v="0"/>
  </r>
  <r>
    <x v="1"/>
    <n v="166"/>
    <s v="BOM RETIRO GLEBAS A2B2"/>
    <s v="18B"/>
    <n v="20.3"/>
    <n v="18.579999999999998"/>
    <d v="2026-03-18T00:00:00"/>
    <m/>
    <d v="2026-07-16T00:00:00"/>
    <x v="143"/>
    <n v="0.22626874421274806"/>
    <x v="1"/>
    <x v="1"/>
    <x v="1"/>
    <m/>
    <x v="0"/>
  </r>
  <r>
    <x v="1"/>
    <n v="166"/>
    <s v="BOM RETIRO GLEBAS A2B2"/>
    <s v="19"/>
    <n v="15.83"/>
    <n v="15.13"/>
    <d v="2026-02-19T00:00:00"/>
    <m/>
    <d v="2026-06-19T00:00:00"/>
    <x v="144"/>
    <n v="0.18483420788067761"/>
    <x v="0"/>
    <x v="1"/>
    <x v="0"/>
    <m/>
    <x v="0"/>
  </r>
  <r>
    <x v="1"/>
    <n v="166"/>
    <s v="BOM RETIRO GLEBAS A2B2"/>
    <s v="1A"/>
    <n v="40.25"/>
    <n v="39.49"/>
    <d v="2026-03-20T00:00:00"/>
    <m/>
    <d v="2026-07-18T00:00:00"/>
    <x v="145"/>
    <n v="0.18575749950183906"/>
    <x v="0"/>
    <x v="1"/>
    <x v="0"/>
    <m/>
    <x v="0"/>
  </r>
  <r>
    <x v="1"/>
    <n v="166"/>
    <s v="BOM RETIRO GLEBAS A2B2"/>
    <s v="2"/>
    <n v="44.66"/>
    <n v="43.94"/>
    <d v="2026-03-11T00:00:00"/>
    <m/>
    <d v="2026-07-09T00:00:00"/>
    <x v="146"/>
    <n v="0.19978268904047386"/>
    <x v="0"/>
    <x v="1"/>
    <x v="0"/>
    <m/>
    <x v="0"/>
  </r>
  <r>
    <x v="1"/>
    <n v="166"/>
    <s v="BOM RETIRO GLEBAS A2B2"/>
    <s v="3"/>
    <n v="29.24"/>
    <n v="28.59"/>
    <d v="2026-03-04T00:00:00"/>
    <m/>
    <d v="2026-07-02T00:00:00"/>
    <x v="93"/>
    <n v="0.31469539050894124"/>
    <x v="3"/>
    <x v="1"/>
    <x v="1"/>
    <m/>
    <x v="0"/>
  </r>
  <r>
    <x v="1"/>
    <n v="166"/>
    <s v="BOM RETIRO GLEBAS A2B2"/>
    <s v="4"/>
    <n v="28.32"/>
    <n v="27.26"/>
    <d v="2026-03-09T00:00:00"/>
    <m/>
    <d v="2026-07-07T00:00:00"/>
    <x v="147"/>
    <n v="0.21961259697858501"/>
    <x v="1"/>
    <x v="4"/>
    <x v="1"/>
    <m/>
    <x v="0"/>
  </r>
  <r>
    <x v="1"/>
    <n v="166"/>
    <s v="BOM RETIRO GLEBAS A2B2"/>
    <s v="5"/>
    <n v="49.71"/>
    <n v="49.95"/>
    <d v="2026-03-11T00:00:00"/>
    <m/>
    <d v="2026-07-09T00:00:00"/>
    <x v="148"/>
    <n v="0.18922322265479846"/>
    <x v="0"/>
    <x v="1"/>
    <x v="0"/>
    <m/>
    <x v="0"/>
  </r>
  <r>
    <x v="1"/>
    <n v="166"/>
    <s v="BOM RETIRO GLEBAS A2B2"/>
    <s v="6"/>
    <n v="43.25"/>
    <n v="42.12"/>
    <d v="2026-03-20T00:00:00"/>
    <m/>
    <d v="2026-07-18T00:00:00"/>
    <x v="149"/>
    <n v="0.19287490944417013"/>
    <x v="0"/>
    <x v="1"/>
    <x v="0"/>
    <m/>
    <x v="0"/>
  </r>
  <r>
    <x v="1"/>
    <n v="166"/>
    <s v="BOM RETIRO GLEBAS A2B2"/>
    <s v="7"/>
    <n v="47.34"/>
    <n v="47.5"/>
    <d v="2026-03-13T00:00:00"/>
    <m/>
    <d v="2026-07-11T00:00:00"/>
    <x v="150"/>
    <n v="0.22577095063473335"/>
    <x v="1"/>
    <x v="0"/>
    <x v="1"/>
    <m/>
    <x v="0"/>
  </r>
  <r>
    <x v="1"/>
    <n v="166"/>
    <s v="BOM RETIRO GLEBAS A2B2"/>
    <s v="8"/>
    <n v="46.34"/>
    <n v="45.5"/>
    <d v="2026-03-17T00:00:00"/>
    <m/>
    <d v="2026-07-15T00:00:00"/>
    <x v="151"/>
    <n v="0.24177135474244316"/>
    <x v="1"/>
    <x v="0"/>
    <x v="1"/>
    <m/>
    <x v="0"/>
  </r>
  <r>
    <x v="1"/>
    <n v="166"/>
    <s v="BOM RETIRO GLEBAS A2B2"/>
    <s v="9"/>
    <n v="27.92"/>
    <n v="28.02"/>
    <d v="2026-03-20T00:00:00"/>
    <m/>
    <d v="2026-07-18T00:00:00"/>
    <x v="118"/>
    <n v="0.2428557613868669"/>
    <x v="1"/>
    <x v="0"/>
    <x v="1"/>
    <m/>
    <x v="0"/>
  </r>
  <r>
    <x v="1"/>
    <n v="200"/>
    <s v="SANTO ANTONIO CLAÚDIO FRANCO"/>
    <s v="1"/>
    <n v="36.86"/>
    <m/>
    <d v="2026-06-02T00:00:00"/>
    <m/>
    <d v="2026-09-30T00:00:00"/>
    <x v="124"/>
    <m/>
    <x v="6"/>
    <x v="3"/>
    <x v="2"/>
    <m/>
    <x v="0"/>
  </r>
  <r>
    <x v="1"/>
    <n v="200"/>
    <s v="SANTO ANTONIO CLAÚDIO FRANCO"/>
    <s v="11"/>
    <n v="37.82"/>
    <m/>
    <d v="2026-06-09T00:00:00"/>
    <m/>
    <d v="2026-10-07T00:00:00"/>
    <x v="124"/>
    <m/>
    <x v="6"/>
    <x v="3"/>
    <x v="2"/>
    <m/>
    <x v="0"/>
  </r>
  <r>
    <x v="1"/>
    <n v="200"/>
    <s v="SANTO ANTONIO CLAÚDIO FRANCO"/>
    <s v="13"/>
    <n v="35.56"/>
    <m/>
    <d v="2026-06-15T00:00:00"/>
    <m/>
    <d v="2026-10-13T00:00:00"/>
    <x v="124"/>
    <m/>
    <x v="6"/>
    <x v="3"/>
    <x v="2"/>
    <m/>
    <x v="0"/>
  </r>
  <r>
    <x v="1"/>
    <n v="200"/>
    <s v="SANTO ANTONIO CLAÚDIO FRANCO"/>
    <s v="14"/>
    <n v="39.229999999999997"/>
    <m/>
    <d v="2026-06-15T00:00:00"/>
    <m/>
    <d v="2026-10-13T00:00:00"/>
    <x v="124"/>
    <m/>
    <x v="6"/>
    <x v="3"/>
    <x v="2"/>
    <m/>
    <x v="0"/>
  </r>
  <r>
    <x v="1"/>
    <n v="200"/>
    <s v="SANTO ANTONIO CLAÚDIO FRANCO"/>
    <s v="16"/>
    <n v="50.04"/>
    <m/>
    <d v="2026-06-11T00:00:00"/>
    <m/>
    <d v="2026-10-09T00:00:00"/>
    <x v="124"/>
    <m/>
    <x v="6"/>
    <x v="3"/>
    <x v="2"/>
    <m/>
    <x v="0"/>
  </r>
  <r>
    <x v="1"/>
    <n v="200"/>
    <s v="SANTO ANTONIO CLAÚDIO FRANCO"/>
    <s v="17"/>
    <n v="35.78"/>
    <m/>
    <d v="2026-05-27T00:00:00"/>
    <m/>
    <d v="2026-09-24T00:00:00"/>
    <x v="124"/>
    <m/>
    <x v="6"/>
    <x v="3"/>
    <x v="2"/>
    <m/>
    <x v="0"/>
  </r>
  <r>
    <x v="1"/>
    <n v="200"/>
    <s v="SANTO ANTONIO CLAÚDIO FRANCO"/>
    <s v="18"/>
    <n v="20.99"/>
    <m/>
    <d v="2026-05-29T00:00:00"/>
    <m/>
    <d v="2026-09-26T00:00:00"/>
    <x v="124"/>
    <m/>
    <x v="6"/>
    <x v="3"/>
    <x v="2"/>
    <m/>
    <x v="0"/>
  </r>
  <r>
    <x v="1"/>
    <n v="200"/>
    <s v="SANTO ANTONIO CLAÚDIO FRANCO"/>
    <s v="20"/>
    <n v="11.51"/>
    <n v="11.31"/>
    <d v="2026-02-27T00:00:00"/>
    <m/>
    <d v="2026-06-27T00:00:00"/>
    <x v="70"/>
    <n v="0.23864855806389521"/>
    <x v="1"/>
    <x v="0"/>
    <x v="1"/>
    <m/>
    <x v="0"/>
  </r>
  <r>
    <x v="1"/>
    <n v="200"/>
    <s v="SANTO ANTONIO CLAÚDIO FRANCO"/>
    <s v="22"/>
    <n v="18.29"/>
    <n v="18.05"/>
    <d v="2026-03-06T00:00:00"/>
    <m/>
    <d v="2026-07-04T00:00:00"/>
    <x v="98"/>
    <n v="0.26110824292062856"/>
    <x v="2"/>
    <x v="1"/>
    <x v="1"/>
    <m/>
    <x v="0"/>
  </r>
  <r>
    <x v="1"/>
    <n v="200"/>
    <s v="SANTO ANTONIO CLAÚDIO FRANCO"/>
    <s v="23"/>
    <n v="29.71"/>
    <m/>
    <d v="2026-06-05T00:00:00"/>
    <m/>
    <d v="2026-10-03T00:00:00"/>
    <x v="124"/>
    <m/>
    <x v="6"/>
    <x v="3"/>
    <x v="2"/>
    <m/>
    <x v="0"/>
  </r>
  <r>
    <x v="1"/>
    <n v="200"/>
    <s v="SANTO ANTONIO CLAÚDIO FRANCO"/>
    <s v="24"/>
    <n v="23.68"/>
    <m/>
    <d v="2026-06-11T00:00:00"/>
    <m/>
    <d v="2026-10-09T00:00:00"/>
    <x v="124"/>
    <m/>
    <x v="6"/>
    <x v="3"/>
    <x v="2"/>
    <m/>
    <x v="0"/>
  </r>
  <r>
    <x v="1"/>
    <n v="200"/>
    <s v="SANTO ANTONIO CLAÚDIO FRANCO"/>
    <s v="26"/>
    <n v="38.9"/>
    <n v="39.06"/>
    <d v="2026-03-13T00:00:00"/>
    <m/>
    <d v="2026-07-11T00:00:00"/>
    <x v="152"/>
    <m/>
    <x v="6"/>
    <x v="0"/>
    <x v="2"/>
    <m/>
    <x v="0"/>
  </r>
  <r>
    <x v="1"/>
    <n v="200"/>
    <s v="SANTO ANTONIO CLAÚDIO FRANCO"/>
    <s v="30"/>
    <n v="28.32"/>
    <m/>
    <d v="2026-05-21T00:00:00"/>
    <m/>
    <d v="2026-09-18T00:00:00"/>
    <x v="124"/>
    <m/>
    <x v="6"/>
    <x v="3"/>
    <x v="2"/>
    <m/>
    <x v="0"/>
  </r>
  <r>
    <x v="1"/>
    <n v="200"/>
    <s v="SANTO ANTONIO CLAÚDIO FRANCO"/>
    <s v="31"/>
    <n v="49.79"/>
    <m/>
    <d v="2026-05-21T00:00:00"/>
    <m/>
    <d v="2026-09-18T00:00:00"/>
    <x v="124"/>
    <m/>
    <x v="6"/>
    <x v="3"/>
    <x v="2"/>
    <m/>
    <x v="0"/>
  </r>
  <r>
    <x v="1"/>
    <n v="200"/>
    <s v="SANTO ANTONIO CLAÚDIO FRANCO"/>
    <s v="35"/>
    <n v="53.58"/>
    <n v="53.68"/>
    <d v="2026-01-21T00:00:00"/>
    <m/>
    <d v="2026-05-21T00:00:00"/>
    <x v="153"/>
    <n v="0.22325165659593285"/>
    <x v="1"/>
    <x v="0"/>
    <x v="1"/>
    <m/>
    <x v="0"/>
  </r>
  <r>
    <x v="1"/>
    <n v="200"/>
    <s v="SANTO ANTONIO CLAÚDIO FRANCO"/>
    <s v="41"/>
    <n v="55.56"/>
    <m/>
    <d v="2026-04-06T00:00:00"/>
    <m/>
    <d v="2026-08-04T00:00:00"/>
    <x v="124"/>
    <m/>
    <x v="6"/>
    <x v="3"/>
    <x v="2"/>
    <m/>
    <x v="0"/>
  </r>
  <r>
    <x v="1"/>
    <n v="200"/>
    <s v="SANTO ANTONIO CLAÚDIO FRANCO"/>
    <s v="42"/>
    <n v="35.229999999999997"/>
    <m/>
    <d v="2026-03-31T00:00:00"/>
    <m/>
    <d v="2026-07-29T00:00:00"/>
    <x v="124"/>
    <n v="0.19863849326386751"/>
    <x v="0"/>
    <x v="3"/>
    <x v="0"/>
    <m/>
    <x v="0"/>
  </r>
  <r>
    <x v="1"/>
    <n v="200"/>
    <s v="SANTO ANTONIO CLAÚDIO FRANCO"/>
    <s v="44"/>
    <n v="40.81"/>
    <m/>
    <d v="2026-04-08T00:00:00"/>
    <m/>
    <d v="2026-08-06T00:00:00"/>
    <x v="124"/>
    <m/>
    <x v="6"/>
    <x v="3"/>
    <x v="2"/>
    <m/>
    <x v="0"/>
  </r>
  <r>
    <x v="1"/>
    <n v="200"/>
    <s v="SANTO ANTONIO CLAÚDIO FRANCO"/>
    <s v="46"/>
    <n v="19.79"/>
    <m/>
    <d v="2026-04-10T00:00:00"/>
    <m/>
    <d v="2026-08-08T00:00:00"/>
    <x v="124"/>
    <m/>
    <x v="6"/>
    <x v="3"/>
    <x v="2"/>
    <m/>
    <x v="0"/>
  </r>
  <r>
    <x v="1"/>
    <n v="200"/>
    <s v="SANTO ANTONIO CLAÚDIO FRANCO"/>
    <s v="49"/>
    <n v="38.31"/>
    <n v="38.229999999999997"/>
    <d v="2026-01-19T00:00:00"/>
    <m/>
    <d v="2026-05-19T00:00:00"/>
    <x v="154"/>
    <n v="0.29442848996810761"/>
    <x v="2"/>
    <x v="1"/>
    <x v="1"/>
    <m/>
    <x v="0"/>
  </r>
  <r>
    <x v="1"/>
    <n v="200"/>
    <s v="SANTO ANTONIO CLAÚDIO FRANCO"/>
    <s v="5"/>
    <n v="31.2"/>
    <m/>
    <d v="2026-06-12T00:00:00"/>
    <m/>
    <d v="2026-10-10T00:00:00"/>
    <x v="124"/>
    <m/>
    <x v="6"/>
    <x v="3"/>
    <x v="2"/>
    <m/>
    <x v="0"/>
  </r>
  <r>
    <x v="1"/>
    <n v="200"/>
    <s v="SANTO ANTONIO CLAÚDIO FRANCO"/>
    <s v="50"/>
    <n v="40.24"/>
    <n v="40.72"/>
    <d v="2025-12-16T00:00:00"/>
    <m/>
    <d v="2026-04-15T00:00:00"/>
    <x v="155"/>
    <n v="0.19456841450531087"/>
    <x v="0"/>
    <x v="0"/>
    <x v="0"/>
    <m/>
    <x v="0"/>
  </r>
  <r>
    <x v="1"/>
    <n v="200"/>
    <s v="SANTO ANTONIO CLAÚDIO FRANCO"/>
    <s v="52"/>
    <n v="53.67"/>
    <n v="52.89"/>
    <d v="2026-03-11T00:00:00"/>
    <m/>
    <d v="2026-07-09T00:00:00"/>
    <x v="156"/>
    <n v="0.21512865221826141"/>
    <x v="1"/>
    <x v="1"/>
    <x v="1"/>
    <m/>
    <x v="0"/>
  </r>
  <r>
    <x v="1"/>
    <n v="200"/>
    <s v="SANTO ANTONIO CLAÚDIO FRANCO"/>
    <s v="53"/>
    <n v="42.06"/>
    <n v="42.23"/>
    <d v="2026-01-09T00:00:00"/>
    <m/>
    <d v="2026-05-09T00:00:00"/>
    <x v="12"/>
    <n v="0.22800342498753284"/>
    <x v="1"/>
    <x v="1"/>
    <x v="1"/>
    <m/>
    <x v="0"/>
  </r>
  <r>
    <x v="1"/>
    <n v="200"/>
    <s v="SANTO ANTONIO CLAÚDIO FRANCO"/>
    <s v="54"/>
    <n v="31.65"/>
    <n v="32.479999999999997"/>
    <d v="2025-12-21T00:00:00"/>
    <m/>
    <d v="2026-04-20T00:00:00"/>
    <x v="157"/>
    <n v="0.15826802051000755"/>
    <x v="0"/>
    <x v="0"/>
    <x v="0"/>
    <m/>
    <x v="0"/>
  </r>
  <r>
    <x v="1"/>
    <n v="200"/>
    <s v="SANTO ANTONIO CLAÚDIO FRANCO"/>
    <s v="55"/>
    <n v="25.73"/>
    <n v="26.24"/>
    <d v="2025-12-31T00:00:00"/>
    <m/>
    <d v="2026-04-30T00:00:00"/>
    <x v="16"/>
    <n v="0.15328454930906241"/>
    <x v="0"/>
    <x v="1"/>
    <x v="0"/>
    <m/>
    <x v="0"/>
  </r>
  <r>
    <x v="1"/>
    <n v="200"/>
    <s v="SANTO ANTONIO CLAÚDIO FRANCO"/>
    <s v="56"/>
    <n v="23.2"/>
    <m/>
    <d v="2026-04-19T00:00:00"/>
    <m/>
    <d v="2026-08-17T00:00:00"/>
    <x v="124"/>
    <m/>
    <x v="6"/>
    <x v="3"/>
    <x v="2"/>
    <m/>
    <x v="0"/>
  </r>
  <r>
    <x v="1"/>
    <n v="200"/>
    <s v="SANTO ANTONIO CLAÚDIO FRANCO"/>
    <s v="57"/>
    <n v="31.7"/>
    <m/>
    <d v="2026-04-20T00:00:00"/>
    <m/>
    <d v="2026-08-18T00:00:00"/>
    <x v="124"/>
    <m/>
    <x v="6"/>
    <x v="3"/>
    <x v="2"/>
    <m/>
    <x v="0"/>
  </r>
  <r>
    <x v="1"/>
    <n v="200"/>
    <s v="SANTO ANTONIO CLAÚDIO FRANCO"/>
    <s v="58"/>
    <n v="60.44"/>
    <m/>
    <d v="2026-04-20T00:00:00"/>
    <m/>
    <d v="2026-08-18T00:00:00"/>
    <x v="124"/>
    <m/>
    <x v="6"/>
    <x v="3"/>
    <x v="2"/>
    <m/>
    <x v="0"/>
  </r>
  <r>
    <x v="1"/>
    <n v="200"/>
    <s v="SANTO ANTONIO CLAÚDIO FRANCO"/>
    <s v="59"/>
    <n v="55.8"/>
    <m/>
    <d v="2026-04-21T00:00:00"/>
    <m/>
    <d v="2026-08-19T00:00:00"/>
    <x v="124"/>
    <n v="0.14856422396980692"/>
    <x v="4"/>
    <x v="3"/>
    <x v="0"/>
    <m/>
    <x v="0"/>
  </r>
  <r>
    <x v="1"/>
    <n v="200"/>
    <s v="SANTO ANTONIO CLAÚDIO FRANCO"/>
    <s v="62"/>
    <n v="46.6"/>
    <m/>
    <d v="2026-05-06T00:00:00"/>
    <m/>
    <d v="2026-09-03T00:00:00"/>
    <x v="124"/>
    <m/>
    <x v="6"/>
    <x v="3"/>
    <x v="2"/>
    <m/>
    <x v="0"/>
  </r>
  <r>
    <x v="1"/>
    <n v="200"/>
    <s v="SANTO ANTONIO CLAÚDIO FRANCO"/>
    <s v="63"/>
    <n v="47"/>
    <m/>
    <d v="2026-04-07T00:00:00"/>
    <m/>
    <d v="2026-08-05T00:00:00"/>
    <x v="124"/>
    <n v="0.19911930203495254"/>
    <x v="0"/>
    <x v="3"/>
    <x v="0"/>
    <m/>
    <x v="0"/>
  </r>
  <r>
    <x v="1"/>
    <n v="200"/>
    <s v="SANTO ANTONIO CLAÚDIO FRANCO"/>
    <s v="64"/>
    <n v="50.2"/>
    <m/>
    <d v="2026-04-09T00:00:00"/>
    <m/>
    <d v="2026-08-07T00:00:00"/>
    <x v="124"/>
    <n v="0.16055335640342802"/>
    <x v="0"/>
    <x v="3"/>
    <x v="0"/>
    <m/>
    <x v="0"/>
  </r>
  <r>
    <x v="1"/>
    <n v="200"/>
    <s v="SANTO ANTONIO CLAÚDIO FRANCO"/>
    <s v="65"/>
    <n v="44.9"/>
    <m/>
    <d v="2026-04-30T00:00:00"/>
    <m/>
    <d v="2026-08-28T00:00:00"/>
    <x v="124"/>
    <m/>
    <x v="6"/>
    <x v="3"/>
    <x v="2"/>
    <m/>
    <x v="0"/>
  </r>
  <r>
    <x v="1"/>
    <n v="200"/>
    <s v="SANTO ANTONIO CLAÚDIO FRANCO"/>
    <s v="66"/>
    <n v="30.6"/>
    <m/>
    <d v="2026-04-01T00:00:00"/>
    <m/>
    <d v="2026-07-30T00:00:00"/>
    <x v="124"/>
    <n v="0.22523374742473992"/>
    <x v="1"/>
    <x v="3"/>
    <x v="1"/>
    <m/>
    <x v="0"/>
  </r>
  <r>
    <x v="1"/>
    <n v="200"/>
    <s v="SANTO ANTONIO CLAÚDIO FRANCO"/>
    <s v="69"/>
    <n v="44.08"/>
    <n v="42.2"/>
    <d v="2026-03-20T00:00:00"/>
    <m/>
    <d v="2026-07-18T00:00:00"/>
    <x v="158"/>
    <n v="0.17192375775825086"/>
    <x v="0"/>
    <x v="0"/>
    <x v="0"/>
    <m/>
    <x v="0"/>
  </r>
  <r>
    <x v="1"/>
    <n v="200"/>
    <s v="SANTO ANTONIO CLAÚDIO FRANCO"/>
    <s v="70"/>
    <n v="36.64"/>
    <m/>
    <d v="2026-03-26T00:00:00"/>
    <m/>
    <d v="2026-07-24T00:00:00"/>
    <x v="124"/>
    <n v="0.15815648059703871"/>
    <x v="0"/>
    <x v="3"/>
    <x v="0"/>
    <m/>
    <x v="0"/>
  </r>
  <r>
    <x v="1"/>
    <n v="200"/>
    <s v="SANTO ANTONIO CLAÚDIO FRANCO"/>
    <s v="72"/>
    <n v="65.180000000000007"/>
    <n v="11.15"/>
    <d v="2026-03-16T00:00:00"/>
    <m/>
    <d v="2026-07-14T00:00:00"/>
    <x v="159"/>
    <n v="0.22375369600157294"/>
    <x v="1"/>
    <x v="1"/>
    <x v="1"/>
    <m/>
    <x v="0"/>
  </r>
  <r>
    <x v="1"/>
    <n v="200"/>
    <s v="SANTO ANTONIO CLAÚDIO FRANCO"/>
    <s v="61A"/>
    <n v="49.72"/>
    <m/>
    <d v="2026-04-25T00:00:00"/>
    <m/>
    <d v="2026-08-23T00:00:00"/>
    <x v="124"/>
    <m/>
    <x v="6"/>
    <x v="3"/>
    <x v="2"/>
    <m/>
    <x v="0"/>
  </r>
  <r>
    <x v="1"/>
    <n v="200"/>
    <s v="SANTO ANTONIO CLAÚDIO FRANCO"/>
    <s v="60A"/>
    <n v="51.88"/>
    <m/>
    <d v="2026-04-28T00:00:00"/>
    <m/>
    <d v="2026-08-26T00:00:00"/>
    <x v="124"/>
    <m/>
    <x v="6"/>
    <x v="3"/>
    <x v="2"/>
    <m/>
    <x v="0"/>
  </r>
  <r>
    <x v="1"/>
    <n v="205"/>
    <s v="GAIVOTA"/>
    <s v="10"/>
    <n v="38.340000000000003"/>
    <n v="36.99"/>
    <d v="2026-02-25T00:00:00"/>
    <m/>
    <d v="2026-06-25T00:00:00"/>
    <x v="115"/>
    <n v="0.15436340215787844"/>
    <x v="0"/>
    <x v="0"/>
    <x v="0"/>
    <m/>
    <x v="1"/>
  </r>
  <r>
    <x v="1"/>
    <n v="205"/>
    <s v="GAIVOTA"/>
    <s v="11"/>
    <n v="14.6"/>
    <n v="14.66"/>
    <d v="2026-02-19T00:00:00"/>
    <m/>
    <d v="2026-06-19T00:00:00"/>
    <x v="160"/>
    <n v="0.14665772175286076"/>
    <x v="4"/>
    <x v="2"/>
    <x v="0"/>
    <m/>
    <x v="1"/>
  </r>
  <r>
    <x v="1"/>
    <n v="205"/>
    <s v="GAIVOTA"/>
    <s v="12"/>
    <n v="33.1"/>
    <n v="28.86"/>
    <d v="2026-02-18T00:00:00"/>
    <m/>
    <d v="2026-06-18T00:00:00"/>
    <x v="161"/>
    <n v="0.19984858881191125"/>
    <x v="0"/>
    <x v="0"/>
    <x v="0"/>
    <m/>
    <x v="1"/>
  </r>
  <r>
    <x v="1"/>
    <n v="205"/>
    <s v="GAIVOTA"/>
    <s v="13"/>
    <n v="41.42"/>
    <n v="40.56"/>
    <d v="2026-02-12T00:00:00"/>
    <m/>
    <d v="2026-06-12T00:00:00"/>
    <x v="91"/>
    <n v="0.27949622637827309"/>
    <x v="2"/>
    <x v="1"/>
    <x v="1"/>
    <m/>
    <x v="1"/>
  </r>
  <r>
    <x v="1"/>
    <n v="205"/>
    <s v="GAIVOTA"/>
    <s v="15"/>
    <n v="28.4"/>
    <m/>
    <d v="2026-04-07T00:00:00"/>
    <m/>
    <d v="2026-08-05T00:00:00"/>
    <x v="124"/>
    <m/>
    <x v="6"/>
    <x v="3"/>
    <x v="2"/>
    <m/>
    <x v="1"/>
  </r>
  <r>
    <x v="1"/>
    <n v="205"/>
    <s v="GAIVOTA"/>
    <s v="15A"/>
    <n v="23.97"/>
    <m/>
    <d v="2026-04-02T00:00:00"/>
    <m/>
    <d v="2026-07-31T00:00:00"/>
    <x v="124"/>
    <m/>
    <x v="6"/>
    <x v="3"/>
    <x v="2"/>
    <m/>
    <x v="1"/>
  </r>
  <r>
    <x v="1"/>
    <n v="205"/>
    <s v="GAIVOTA"/>
    <s v="16"/>
    <n v="16.86"/>
    <n v="16.43"/>
    <d v="2026-03-27T00:00:00"/>
    <m/>
    <d v="2026-07-25T00:00:00"/>
    <x v="118"/>
    <n v="0.15338029341120596"/>
    <x v="0"/>
    <x v="0"/>
    <x v="0"/>
    <m/>
    <x v="1"/>
  </r>
  <r>
    <x v="1"/>
    <n v="205"/>
    <s v="GAIVOTA"/>
    <s v="16A"/>
    <n v="3.7"/>
    <n v="3.56"/>
    <d v="2026-03-21T00:00:00"/>
    <m/>
    <d v="2026-07-19T00:00:00"/>
    <x v="162"/>
    <n v="0.18265179337200746"/>
    <x v="0"/>
    <x v="0"/>
    <x v="0"/>
    <m/>
    <x v="1"/>
  </r>
  <r>
    <x v="1"/>
    <n v="205"/>
    <s v="GAIVOTA"/>
    <s v="17"/>
    <n v="16.899999999999999"/>
    <n v="16.62"/>
    <d v="2026-03-21T00:00:00"/>
    <m/>
    <d v="2026-07-19T00:00:00"/>
    <x v="23"/>
    <n v="0.15602787959147441"/>
    <x v="0"/>
    <x v="0"/>
    <x v="0"/>
    <m/>
    <x v="1"/>
  </r>
  <r>
    <x v="1"/>
    <n v="205"/>
    <s v="GAIVOTA"/>
    <s v="18"/>
    <n v="17.7"/>
    <n v="18.78"/>
    <d v="2026-03-20T00:00:00"/>
    <m/>
    <d v="2026-07-18T00:00:00"/>
    <x v="5"/>
    <n v="0.22821974755567173"/>
    <x v="1"/>
    <x v="0"/>
    <x v="1"/>
    <m/>
    <x v="1"/>
  </r>
  <r>
    <x v="1"/>
    <n v="205"/>
    <s v="GAIVOTA"/>
    <s v="19"/>
    <n v="25.3"/>
    <n v="25.32"/>
    <d v="2026-03-19T00:00:00"/>
    <m/>
    <d v="2026-07-17T00:00:00"/>
    <x v="163"/>
    <n v="0.13677036910582618"/>
    <x v="4"/>
    <x v="0"/>
    <x v="0"/>
    <m/>
    <x v="1"/>
  </r>
  <r>
    <x v="1"/>
    <n v="205"/>
    <s v="GAIVOTA"/>
    <s v="2"/>
    <n v="51.3"/>
    <n v="50.42"/>
    <d v="2026-03-18T00:00:00"/>
    <m/>
    <d v="2026-07-16T00:00:00"/>
    <x v="164"/>
    <m/>
    <x v="6"/>
    <x v="0"/>
    <x v="2"/>
    <m/>
    <x v="1"/>
  </r>
  <r>
    <x v="1"/>
    <n v="205"/>
    <s v="GAIVOTA"/>
    <s v="20"/>
    <n v="13.9"/>
    <n v="13.8"/>
    <d v="2026-03-11T00:00:00"/>
    <m/>
    <d v="2026-07-09T00:00:00"/>
    <x v="165"/>
    <n v="0.21817459569663794"/>
    <x v="1"/>
    <x v="0"/>
    <x v="1"/>
    <m/>
    <x v="1"/>
  </r>
  <r>
    <x v="1"/>
    <n v="205"/>
    <s v="GAIVOTA"/>
    <s v="21"/>
    <n v="12.8"/>
    <n v="12.74"/>
    <d v="2026-03-10T00:00:00"/>
    <m/>
    <d v="2026-07-08T00:00:00"/>
    <x v="39"/>
    <n v="0.11835521746497317"/>
    <x v="4"/>
    <x v="0"/>
    <x v="0"/>
    <m/>
    <x v="1"/>
  </r>
  <r>
    <x v="1"/>
    <n v="205"/>
    <s v="GAIVOTA"/>
    <s v="22"/>
    <n v="15"/>
    <n v="14.87"/>
    <d v="2026-03-07T00:00:00"/>
    <m/>
    <d v="2026-07-05T00:00:00"/>
    <x v="118"/>
    <n v="0.11021706431166127"/>
    <x v="4"/>
    <x v="0"/>
    <x v="0"/>
    <m/>
    <x v="1"/>
  </r>
  <r>
    <x v="1"/>
    <n v="205"/>
    <s v="GAIVOTA"/>
    <s v="5"/>
    <n v="42.5"/>
    <n v="41.78"/>
    <d v="2026-03-05T00:00:00"/>
    <m/>
    <d v="2026-07-03T00:00:00"/>
    <x v="166"/>
    <n v="0.13417590535625576"/>
    <x v="4"/>
    <x v="0"/>
    <x v="0"/>
    <m/>
    <x v="1"/>
  </r>
  <r>
    <x v="1"/>
    <n v="211"/>
    <s v="VÓ ANA"/>
    <s v="12"/>
    <n v="25.9"/>
    <m/>
    <d v="2026-04-13T00:00:00"/>
    <m/>
    <d v="2026-08-11T00:00:00"/>
    <x v="124"/>
    <m/>
    <x v="6"/>
    <x v="3"/>
    <x v="2"/>
    <m/>
    <x v="1"/>
  </r>
  <r>
    <x v="1"/>
    <n v="211"/>
    <s v="VÓ ANA"/>
    <s v="13"/>
    <n v="37.1"/>
    <m/>
    <d v="2026-04-17T00:00:00"/>
    <m/>
    <d v="2026-08-15T00:00:00"/>
    <x v="124"/>
    <m/>
    <x v="6"/>
    <x v="3"/>
    <x v="2"/>
    <m/>
    <x v="1"/>
  </r>
  <r>
    <x v="1"/>
    <n v="211"/>
    <s v="VÓ ANA"/>
    <s v="14"/>
    <n v="25.8"/>
    <m/>
    <d v="2026-04-21T00:00:00"/>
    <m/>
    <d v="2026-08-19T00:00:00"/>
    <x v="124"/>
    <m/>
    <x v="6"/>
    <x v="3"/>
    <x v="2"/>
    <m/>
    <x v="1"/>
  </r>
  <r>
    <x v="1"/>
    <n v="211"/>
    <s v="VÓ ANA"/>
    <s v="15"/>
    <n v="28.2"/>
    <m/>
    <d v="2026-05-09T00:00:00"/>
    <m/>
    <d v="2026-09-06T00:00:00"/>
    <x v="124"/>
    <m/>
    <x v="6"/>
    <x v="3"/>
    <x v="2"/>
    <m/>
    <x v="1"/>
  </r>
  <r>
    <x v="1"/>
    <n v="211"/>
    <s v="VÓ ANA"/>
    <s v="16"/>
    <n v="43"/>
    <m/>
    <d v="2026-04-20T00:00:00"/>
    <m/>
    <d v="2026-08-18T00:00:00"/>
    <x v="124"/>
    <m/>
    <x v="6"/>
    <x v="3"/>
    <x v="2"/>
    <m/>
    <x v="1"/>
  </r>
  <r>
    <x v="1"/>
    <n v="211"/>
    <s v="VÓ ANA"/>
    <s v="5"/>
    <n v="47.4"/>
    <m/>
    <d v="2026-05-04T00:00:00"/>
    <m/>
    <d v="2026-09-01T00:00:00"/>
    <x v="124"/>
    <m/>
    <x v="6"/>
    <x v="3"/>
    <x v="2"/>
    <m/>
    <x v="1"/>
  </r>
  <r>
    <x v="1"/>
    <n v="211"/>
    <s v="VÓ ANA"/>
    <s v="8"/>
    <n v="75.7"/>
    <m/>
    <d v="2026-05-07T00:00:00"/>
    <m/>
    <d v="2026-09-04T00:00:00"/>
    <x v="124"/>
    <m/>
    <x v="6"/>
    <x v="3"/>
    <x v="2"/>
    <m/>
    <x v="1"/>
  </r>
  <r>
    <x v="1"/>
    <n v="228"/>
    <s v="BRIOSO"/>
    <s v="10"/>
    <n v="50.28"/>
    <m/>
    <d v="2026-06-10T00:00:00"/>
    <m/>
    <d v="2026-10-08T00:00:00"/>
    <x v="124"/>
    <m/>
    <x v="6"/>
    <x v="3"/>
    <x v="2"/>
    <m/>
    <x v="0"/>
  </r>
  <r>
    <x v="1"/>
    <n v="228"/>
    <s v="BRIOSO"/>
    <s v="11"/>
    <n v="33.93"/>
    <m/>
    <d v="2026-06-12T00:00:00"/>
    <m/>
    <d v="2026-10-10T00:00:00"/>
    <x v="124"/>
    <m/>
    <x v="6"/>
    <x v="3"/>
    <x v="2"/>
    <m/>
    <x v="0"/>
  </r>
  <r>
    <x v="1"/>
    <n v="228"/>
    <s v="BRIOSO"/>
    <s v="16"/>
    <n v="27"/>
    <m/>
    <d v="2026-06-15T00:00:00"/>
    <m/>
    <d v="2026-10-13T00:00:00"/>
    <x v="124"/>
    <m/>
    <x v="6"/>
    <x v="3"/>
    <x v="2"/>
    <m/>
    <x v="0"/>
  </r>
  <r>
    <x v="1"/>
    <n v="228"/>
    <s v="BRIOSO"/>
    <s v="17"/>
    <n v="6"/>
    <m/>
    <d v="2026-06-15T00:00:00"/>
    <m/>
    <d v="2026-10-13T00:00:00"/>
    <x v="124"/>
    <m/>
    <x v="6"/>
    <x v="3"/>
    <x v="2"/>
    <m/>
    <x v="0"/>
  </r>
  <r>
    <x v="1"/>
    <n v="228"/>
    <s v="BRIOSO"/>
    <s v="2"/>
    <n v="35.06"/>
    <m/>
    <d v="2026-06-06T00:00:00"/>
    <m/>
    <d v="2026-10-04T00:00:00"/>
    <x v="124"/>
    <m/>
    <x v="6"/>
    <x v="3"/>
    <x v="2"/>
    <m/>
    <x v="0"/>
  </r>
  <r>
    <x v="1"/>
    <n v="228"/>
    <s v="BRIOSO"/>
    <s v="29"/>
    <n v="19.55"/>
    <m/>
    <d v="2026-06-13T00:00:00"/>
    <m/>
    <d v="2026-10-11T00:00:00"/>
    <x v="124"/>
    <m/>
    <x v="6"/>
    <x v="3"/>
    <x v="2"/>
    <m/>
    <x v="0"/>
  </r>
  <r>
    <x v="1"/>
    <n v="228"/>
    <s v="BRIOSO"/>
    <s v="42"/>
    <n v="31.64"/>
    <m/>
    <d v="2026-06-04T00:00:00"/>
    <m/>
    <d v="2026-10-02T00:00:00"/>
    <x v="124"/>
    <m/>
    <x v="6"/>
    <x v="3"/>
    <x v="2"/>
    <m/>
    <x v="0"/>
  </r>
  <r>
    <x v="1"/>
    <n v="228"/>
    <s v="BRIOSO"/>
    <s v="43"/>
    <n v="24.56"/>
    <n v="24.68"/>
    <d v="2026-03-21T00:00:00"/>
    <m/>
    <d v="2026-07-19T00:00:00"/>
    <x v="167"/>
    <n v="0.17580759822326525"/>
    <x v="0"/>
    <x v="1"/>
    <x v="0"/>
    <m/>
    <x v="0"/>
  </r>
  <r>
    <x v="1"/>
    <n v="228"/>
    <s v="BRIOSO"/>
    <s v="44"/>
    <n v="25.91"/>
    <n v="25.86"/>
    <d v="2026-03-20T00:00:00"/>
    <m/>
    <d v="2026-07-18T00:00:00"/>
    <x v="168"/>
    <n v="0.23109069923559908"/>
    <x v="1"/>
    <x v="1"/>
    <x v="1"/>
    <m/>
    <x v="0"/>
  </r>
  <r>
    <x v="1"/>
    <n v="228"/>
    <s v="BRIOSO"/>
    <s v="52"/>
    <n v="44.72"/>
    <n v="45.59"/>
    <d v="2026-03-17T00:00:00"/>
    <m/>
    <d v="2026-07-15T00:00:00"/>
    <x v="169"/>
    <n v="0.16861935504885558"/>
    <x v="0"/>
    <x v="1"/>
    <x v="0"/>
    <m/>
    <x v="0"/>
  </r>
  <r>
    <x v="1"/>
    <n v="228"/>
    <s v="BRIOSO"/>
    <s v="54"/>
    <n v="26.52"/>
    <n v="26.82"/>
    <d v="2026-03-20T00:00:00"/>
    <m/>
    <d v="2026-07-18T00:00:00"/>
    <x v="13"/>
    <m/>
    <x v="6"/>
    <x v="0"/>
    <x v="2"/>
    <m/>
    <x v="0"/>
  </r>
  <r>
    <x v="1"/>
    <n v="228"/>
    <s v="BRIOSO"/>
    <s v="55"/>
    <n v="21.61"/>
    <n v="21.78"/>
    <d v="2026-03-20T00:00:00"/>
    <m/>
    <d v="2026-07-18T00:00:00"/>
    <x v="8"/>
    <n v="0.24955882157590281"/>
    <x v="1"/>
    <x v="1"/>
    <x v="1"/>
    <m/>
    <x v="0"/>
  </r>
  <r>
    <x v="1"/>
    <n v="228"/>
    <s v="BRIOSO"/>
    <s v="56"/>
    <n v="20.32"/>
    <n v="20.309999999999999"/>
    <d v="2026-03-21T00:00:00"/>
    <m/>
    <d v="2026-07-19T00:00:00"/>
    <x v="170"/>
    <n v="0.2937570594476932"/>
    <x v="2"/>
    <x v="1"/>
    <x v="1"/>
    <m/>
    <x v="0"/>
  </r>
  <r>
    <x v="1"/>
    <n v="228"/>
    <s v="BRIOSO"/>
    <s v="57"/>
    <n v="44.93"/>
    <n v="44.87"/>
    <d v="2026-04-02T00:00:00"/>
    <m/>
    <d v="2026-07-31T00:00:00"/>
    <x v="124"/>
    <m/>
    <x v="6"/>
    <x v="3"/>
    <x v="2"/>
    <m/>
    <x v="0"/>
  </r>
  <r>
    <x v="1"/>
    <n v="228"/>
    <s v="BRIOSO"/>
    <s v="66"/>
    <n v="51.5"/>
    <n v="51.59"/>
    <d v="2026-03-19T00:00:00"/>
    <m/>
    <d v="2026-07-17T00:00:00"/>
    <x v="171"/>
    <n v="0.31970532541293911"/>
    <x v="3"/>
    <x v="1"/>
    <x v="1"/>
    <m/>
    <x v="0"/>
  </r>
  <r>
    <x v="1"/>
    <n v="228"/>
    <s v="BRIOSO"/>
    <s v="67"/>
    <n v="74.040000000000006"/>
    <m/>
    <d v="2026-05-20T00:00:00"/>
    <m/>
    <d v="2026-09-17T00:00:00"/>
    <x v="124"/>
    <m/>
    <x v="6"/>
    <x v="3"/>
    <x v="2"/>
    <m/>
    <x v="0"/>
  </r>
  <r>
    <x v="1"/>
    <n v="228"/>
    <s v="BRIOSO"/>
    <s v="68"/>
    <n v="32.46"/>
    <m/>
    <d v="2026-05-20T00:00:00"/>
    <m/>
    <d v="2026-09-17T00:00:00"/>
    <x v="124"/>
    <m/>
    <x v="6"/>
    <x v="3"/>
    <x v="2"/>
    <m/>
    <x v="0"/>
  </r>
  <r>
    <x v="1"/>
    <n v="228"/>
    <s v="BRIOSO"/>
    <s v="79"/>
    <n v="48.09"/>
    <m/>
    <d v="2026-04-21T00:00:00"/>
    <m/>
    <d v="2026-08-19T00:00:00"/>
    <x v="124"/>
    <m/>
    <x v="6"/>
    <x v="3"/>
    <x v="2"/>
    <m/>
    <x v="0"/>
  </r>
  <r>
    <x v="1"/>
    <n v="228"/>
    <s v="BRIOSO"/>
    <s v="78"/>
    <n v="24.02"/>
    <m/>
    <d v="2026-04-27T00:00:00"/>
    <m/>
    <d v="2026-08-25T00:00:00"/>
    <x v="124"/>
    <m/>
    <x v="6"/>
    <x v="3"/>
    <x v="2"/>
    <m/>
    <x v="0"/>
  </r>
  <r>
    <x v="1"/>
    <n v="228"/>
    <s v="BRIOSO"/>
    <s v="80"/>
    <n v="23.49"/>
    <m/>
    <d v="2026-05-07T00:00:00"/>
    <m/>
    <d v="2026-09-04T00:00:00"/>
    <x v="124"/>
    <m/>
    <x v="6"/>
    <x v="3"/>
    <x v="2"/>
    <m/>
    <x v="0"/>
  </r>
  <r>
    <x v="1"/>
    <n v="228"/>
    <s v="BRIOSO"/>
    <s v="70A"/>
    <n v="59.22"/>
    <m/>
    <d v="2026-05-14T00:00:00"/>
    <m/>
    <d v="2026-09-11T00:00:00"/>
    <x v="124"/>
    <m/>
    <x v="6"/>
    <x v="3"/>
    <x v="2"/>
    <m/>
    <x v="0"/>
  </r>
  <r>
    <x v="1"/>
    <n v="228"/>
    <s v="BRIOSO"/>
    <s v="81"/>
    <n v="18.12"/>
    <m/>
    <d v="2026-05-21T00:00:00"/>
    <m/>
    <d v="2026-09-18T00:00:00"/>
    <x v="124"/>
    <m/>
    <x v="6"/>
    <x v="3"/>
    <x v="2"/>
    <m/>
    <x v="0"/>
  </r>
  <r>
    <x v="1"/>
    <n v="228"/>
    <s v="BRIOSO"/>
    <s v="76"/>
    <n v="47.64"/>
    <m/>
    <d v="2026-04-17T00:00:00"/>
    <m/>
    <d v="2026-08-15T00:00:00"/>
    <x v="124"/>
    <m/>
    <x v="6"/>
    <x v="3"/>
    <x v="2"/>
    <m/>
    <x v="0"/>
  </r>
  <r>
    <x v="1"/>
    <n v="228"/>
    <s v="BRIOSO"/>
    <s v="77"/>
    <n v="23.99"/>
    <m/>
    <d v="2026-05-21T00:00:00"/>
    <m/>
    <d v="2026-09-18T00:00:00"/>
    <x v="124"/>
    <m/>
    <x v="6"/>
    <x v="3"/>
    <x v="2"/>
    <m/>
    <x v="0"/>
  </r>
  <r>
    <x v="1"/>
    <n v="228"/>
    <s v="BRIOSO"/>
    <s v="82"/>
    <n v="52.67"/>
    <m/>
    <d v="2026-05-28T00:00:00"/>
    <m/>
    <d v="2026-09-25T00:00:00"/>
    <x v="124"/>
    <m/>
    <x v="6"/>
    <x v="3"/>
    <x v="2"/>
    <m/>
    <x v="0"/>
  </r>
  <r>
    <x v="1"/>
    <n v="228"/>
    <s v="BRIOSO"/>
    <s v="83A"/>
    <n v="49.99"/>
    <m/>
    <d v="2026-06-01T00:00:00"/>
    <m/>
    <d v="2026-09-29T00:00:00"/>
    <x v="124"/>
    <m/>
    <x v="6"/>
    <x v="3"/>
    <x v="2"/>
    <m/>
    <x v="0"/>
  </r>
  <r>
    <x v="1"/>
    <n v="228"/>
    <s v="BRIOSO"/>
    <s v="30A"/>
    <n v="26.72"/>
    <m/>
    <d v="2026-06-15T00:00:00"/>
    <m/>
    <d v="2026-10-13T00:00:00"/>
    <x v="124"/>
    <m/>
    <x v="6"/>
    <x v="3"/>
    <x v="2"/>
    <m/>
    <x v="0"/>
  </r>
  <r>
    <x v="1"/>
    <n v="266"/>
    <s v="LÍBANO"/>
    <s v="1"/>
    <n v="28.36"/>
    <m/>
    <d v="2026-04-17T00:00:00"/>
    <m/>
    <d v="2026-08-15T00:00:00"/>
    <x v="124"/>
    <m/>
    <x v="6"/>
    <x v="3"/>
    <x v="2"/>
    <m/>
    <x v="1"/>
  </r>
  <r>
    <x v="1"/>
    <n v="266"/>
    <s v="LÍBANO"/>
    <s v="2"/>
    <n v="27.52"/>
    <m/>
    <d v="2026-04-14T00:00:00"/>
    <m/>
    <d v="2026-08-12T00:00:00"/>
    <x v="124"/>
    <m/>
    <x v="6"/>
    <x v="3"/>
    <x v="2"/>
    <m/>
    <x v="1"/>
  </r>
  <r>
    <x v="1"/>
    <n v="266"/>
    <s v="LÍBANO"/>
    <s v="3"/>
    <n v="31.11"/>
    <m/>
    <d v="2026-04-16T00:00:00"/>
    <m/>
    <d v="2026-08-14T00:00:00"/>
    <x v="124"/>
    <m/>
    <x v="6"/>
    <x v="3"/>
    <x v="2"/>
    <m/>
    <x v="1"/>
  </r>
  <r>
    <x v="1"/>
    <n v="266"/>
    <s v="LÍBANO"/>
    <s v="4"/>
    <n v="26.19"/>
    <m/>
    <d v="2026-04-18T00:00:00"/>
    <m/>
    <d v="2026-08-16T00:00:00"/>
    <x v="124"/>
    <m/>
    <x v="6"/>
    <x v="3"/>
    <x v="2"/>
    <m/>
    <x v="1"/>
  </r>
  <r>
    <x v="1"/>
    <n v="266"/>
    <s v="LÍBANO"/>
    <s v="5"/>
    <n v="31.42"/>
    <m/>
    <d v="2026-04-21T00:00:00"/>
    <m/>
    <d v="2026-08-19T00:00:00"/>
    <x v="124"/>
    <m/>
    <x v="6"/>
    <x v="3"/>
    <x v="2"/>
    <m/>
    <x v="1"/>
  </r>
  <r>
    <x v="1"/>
    <n v="266"/>
    <s v="LÍBANO"/>
    <s v="6"/>
    <n v="11.06"/>
    <m/>
    <d v="2026-04-18T00:00:00"/>
    <m/>
    <d v="2026-08-16T00:00:00"/>
    <x v="124"/>
    <m/>
    <x v="6"/>
    <x v="3"/>
    <x v="2"/>
    <m/>
    <x v="1"/>
  </r>
  <r>
    <x v="1"/>
    <n v="266"/>
    <s v="LÍBANO"/>
    <s v="7"/>
    <n v="21.58"/>
    <m/>
    <d v="2026-04-24T00:00:00"/>
    <m/>
    <d v="2026-08-22T00:00:00"/>
    <x v="124"/>
    <m/>
    <x v="6"/>
    <x v="3"/>
    <x v="2"/>
    <m/>
    <x v="1"/>
  </r>
  <r>
    <x v="1"/>
    <n v="266"/>
    <s v="LÍBANO"/>
    <s v="8"/>
    <n v="22.87"/>
    <m/>
    <d v="2026-04-30T00:00:00"/>
    <m/>
    <d v="2026-08-28T00:00:00"/>
    <x v="124"/>
    <m/>
    <x v="6"/>
    <x v="3"/>
    <x v="2"/>
    <m/>
    <x v="1"/>
  </r>
  <r>
    <x v="1"/>
    <n v="295"/>
    <s v="BOM RETIRO- GLEBAS A1B1"/>
    <s v="1"/>
    <n v="70.11"/>
    <n v="13.9"/>
    <d v="2026-01-28T00:00:00"/>
    <m/>
    <d v="2026-05-28T00:00:00"/>
    <x v="172"/>
    <n v="0.22806609242701226"/>
    <x v="1"/>
    <x v="1"/>
    <x v="1"/>
    <m/>
    <x v="0"/>
  </r>
  <r>
    <x v="1"/>
    <n v="295"/>
    <s v="BOM RETIRO- GLEBAS A1B1"/>
    <s v="10"/>
    <n v="46.37"/>
    <n v="42.96"/>
    <d v="2026-01-14T00:00:00"/>
    <m/>
    <d v="2026-05-14T00:00:00"/>
    <x v="41"/>
    <n v="0.1981180807839463"/>
    <x v="0"/>
    <x v="1"/>
    <x v="0"/>
    <m/>
    <x v="0"/>
  </r>
  <r>
    <x v="1"/>
    <n v="295"/>
    <s v="BOM RETIRO- GLEBAS A1B1"/>
    <s v="11"/>
    <n v="46.64"/>
    <n v="45.75"/>
    <d v="2026-01-16T00:00:00"/>
    <m/>
    <d v="2026-05-16T00:00:00"/>
    <x v="173"/>
    <n v="0.19621410569322681"/>
    <x v="0"/>
    <x v="1"/>
    <x v="0"/>
    <m/>
    <x v="0"/>
  </r>
  <r>
    <x v="1"/>
    <n v="295"/>
    <s v="BOM RETIRO- GLEBAS A1B1"/>
    <s v="12"/>
    <n v="44.06"/>
    <n v="43.7"/>
    <d v="2026-03-03T00:00:00"/>
    <m/>
    <d v="2026-07-01T00:00:00"/>
    <x v="174"/>
    <n v="0.29733165771096604"/>
    <x v="2"/>
    <x v="1"/>
    <x v="1"/>
    <m/>
    <x v="0"/>
  </r>
  <r>
    <x v="1"/>
    <n v="295"/>
    <s v="BOM RETIRO- GLEBAS A1B1"/>
    <s v="13"/>
    <n v="31.46"/>
    <n v="30.42"/>
    <d v="2026-02-03T00:00:00"/>
    <m/>
    <d v="2026-06-03T00:00:00"/>
    <x v="175"/>
    <n v="0.18434681247353812"/>
    <x v="0"/>
    <x v="1"/>
    <x v="0"/>
    <m/>
    <x v="0"/>
  </r>
  <r>
    <x v="1"/>
    <n v="295"/>
    <s v="BOM RETIRO- GLEBAS A1B1"/>
    <s v="14"/>
    <n v="44.3"/>
    <n v="44.06"/>
    <d v="2025-12-21T00:00:00"/>
    <m/>
    <d v="2026-04-20T00:00:00"/>
    <x v="176"/>
    <n v="0.18484589410894051"/>
    <x v="0"/>
    <x v="1"/>
    <x v="0"/>
    <m/>
    <x v="0"/>
  </r>
  <r>
    <x v="1"/>
    <n v="295"/>
    <s v="BOM RETIRO- GLEBAS A1B1"/>
    <s v="17"/>
    <n v="29.59"/>
    <n v="26.9"/>
    <d v="2026-01-05T00:00:00"/>
    <m/>
    <d v="2026-05-05T00:00:00"/>
    <x v="177"/>
    <n v="0.16361321184289679"/>
    <x v="0"/>
    <x v="1"/>
    <x v="0"/>
    <m/>
    <x v="0"/>
  </r>
  <r>
    <x v="1"/>
    <n v="295"/>
    <s v="BOM RETIRO- GLEBAS A1B1"/>
    <s v="18"/>
    <n v="36.58"/>
    <n v="31.85"/>
    <d v="2026-01-06T00:00:00"/>
    <m/>
    <d v="2026-05-06T00:00:00"/>
    <x v="178"/>
    <n v="0.12571329837191197"/>
    <x v="4"/>
    <x v="1"/>
    <x v="0"/>
    <m/>
    <x v="0"/>
  </r>
  <r>
    <x v="1"/>
    <n v="295"/>
    <s v="BOM RETIRO- GLEBAS A1B1"/>
    <s v="19"/>
    <n v="39.72"/>
    <n v="35.71"/>
    <d v="2026-01-14T00:00:00"/>
    <m/>
    <d v="2026-05-14T00:00:00"/>
    <x v="179"/>
    <n v="0.1661116641655313"/>
    <x v="0"/>
    <x v="1"/>
    <x v="0"/>
    <m/>
    <x v="0"/>
  </r>
  <r>
    <x v="1"/>
    <n v="295"/>
    <s v="BOM RETIRO- GLEBAS A1B1"/>
    <s v="2"/>
    <n v="46.58"/>
    <n v="44.71"/>
    <d v="2026-01-30T00:00:00"/>
    <m/>
    <d v="2026-05-30T00:00:00"/>
    <x v="180"/>
    <n v="0.18258367057270786"/>
    <x v="0"/>
    <x v="1"/>
    <x v="0"/>
    <m/>
    <x v="0"/>
  </r>
  <r>
    <x v="1"/>
    <n v="295"/>
    <s v="BOM RETIRO- GLEBAS A1B1"/>
    <s v="20"/>
    <n v="44.1"/>
    <n v="12.83"/>
    <d v="2026-02-11T00:00:00"/>
    <m/>
    <d v="2026-06-11T00:00:00"/>
    <x v="181"/>
    <n v="0.23907918096594022"/>
    <x v="1"/>
    <x v="1"/>
    <x v="1"/>
    <m/>
    <x v="0"/>
  </r>
  <r>
    <x v="1"/>
    <n v="295"/>
    <s v="BOM RETIRO- GLEBAS A1B1"/>
    <s v="21"/>
    <n v="39.5"/>
    <n v="37.19"/>
    <d v="2026-01-09T00:00:00"/>
    <m/>
    <d v="2026-05-09T00:00:00"/>
    <x v="182"/>
    <n v="0.17533212330104056"/>
    <x v="0"/>
    <x v="1"/>
    <x v="0"/>
    <m/>
    <x v="0"/>
  </r>
  <r>
    <x v="1"/>
    <n v="295"/>
    <s v="BOM RETIRO- GLEBAS A1B1"/>
    <s v="23"/>
    <n v="34.31"/>
    <n v="32.380000000000003"/>
    <d v="2026-01-16T00:00:00"/>
    <m/>
    <d v="2026-05-16T00:00:00"/>
    <x v="183"/>
    <n v="0.25213050559707006"/>
    <x v="2"/>
    <x v="1"/>
    <x v="1"/>
    <m/>
    <x v="0"/>
  </r>
  <r>
    <x v="1"/>
    <n v="295"/>
    <s v="BOM RETIRO- GLEBAS A1B1"/>
    <s v="24"/>
    <n v="44.96"/>
    <n v="41.57"/>
    <d v="2026-01-26T00:00:00"/>
    <m/>
    <d v="2026-05-26T00:00:00"/>
    <x v="184"/>
    <n v="0.20313052138475213"/>
    <x v="1"/>
    <x v="1"/>
    <x v="1"/>
    <m/>
    <x v="0"/>
  </r>
  <r>
    <x v="1"/>
    <n v="295"/>
    <s v="BOM RETIRO- GLEBAS A1B1"/>
    <s v="27"/>
    <n v="27.99"/>
    <n v="27.89"/>
    <d v="2026-01-21T00:00:00"/>
    <m/>
    <d v="2026-05-21T00:00:00"/>
    <x v="185"/>
    <n v="0.29788935475630168"/>
    <x v="2"/>
    <x v="0"/>
    <x v="1"/>
    <m/>
    <x v="0"/>
  </r>
  <r>
    <x v="1"/>
    <n v="295"/>
    <s v="BOM RETIRO- GLEBAS A1B1"/>
    <s v="28"/>
    <n v="20.329999999999998"/>
    <n v="19.8"/>
    <d v="2025-12-11T00:00:00"/>
    <m/>
    <d v="2026-04-10T00:00:00"/>
    <x v="186"/>
    <n v="0.4418073055196155"/>
    <x v="8"/>
    <x v="1"/>
    <x v="3"/>
    <m/>
    <x v="0"/>
  </r>
  <r>
    <x v="1"/>
    <n v="295"/>
    <s v="BOM RETIRO- GLEBAS A1B1"/>
    <s v="3"/>
    <n v="30.81"/>
    <n v="30.31"/>
    <d v="2026-01-20T00:00:00"/>
    <m/>
    <d v="2026-05-20T00:00:00"/>
    <x v="187"/>
    <n v="0.23982409553811818"/>
    <x v="1"/>
    <x v="1"/>
    <x v="1"/>
    <m/>
    <x v="0"/>
  </r>
  <r>
    <x v="1"/>
    <n v="295"/>
    <s v="BOM RETIRO- GLEBAS A1B1"/>
    <s v="31"/>
    <n v="50.75"/>
    <n v="30.66"/>
    <d v="2026-02-03T00:00:00"/>
    <m/>
    <d v="2026-06-03T00:00:00"/>
    <x v="188"/>
    <n v="0.25500696963782965"/>
    <x v="2"/>
    <x v="1"/>
    <x v="1"/>
    <m/>
    <x v="0"/>
  </r>
  <r>
    <x v="1"/>
    <n v="295"/>
    <s v="BOM RETIRO- GLEBAS A1B1"/>
    <s v="32"/>
    <n v="44.39"/>
    <n v="42.68"/>
    <d v="2026-01-12T00:00:00"/>
    <m/>
    <d v="2026-05-12T00:00:00"/>
    <x v="189"/>
    <n v="0.19098498363234884"/>
    <x v="0"/>
    <x v="1"/>
    <x v="0"/>
    <m/>
    <x v="0"/>
  </r>
  <r>
    <x v="1"/>
    <n v="295"/>
    <s v="BOM RETIRO- GLEBAS A1B1"/>
    <s v="33"/>
    <n v="38.01"/>
    <n v="34.39"/>
    <d v="2026-02-18T00:00:00"/>
    <m/>
    <d v="2026-06-18T00:00:00"/>
    <x v="190"/>
    <n v="0.22652468075013871"/>
    <x v="1"/>
    <x v="1"/>
    <x v="1"/>
    <m/>
    <x v="0"/>
  </r>
  <r>
    <x v="1"/>
    <n v="295"/>
    <s v="BOM RETIRO- GLEBAS A1B1"/>
    <s v="34"/>
    <n v="31.09"/>
    <n v="32.06"/>
    <d v="2025-12-18T00:00:00"/>
    <m/>
    <d v="2026-04-17T00:00:00"/>
    <x v="7"/>
    <n v="0.26395045333824763"/>
    <x v="2"/>
    <x v="1"/>
    <x v="1"/>
    <m/>
    <x v="0"/>
  </r>
  <r>
    <x v="1"/>
    <n v="295"/>
    <s v="BOM RETIRO- GLEBAS A1B1"/>
    <s v="35"/>
    <n v="31.05"/>
    <n v="31.63"/>
    <d v="2025-12-18T00:00:00"/>
    <m/>
    <d v="2026-04-17T00:00:00"/>
    <x v="188"/>
    <n v="0.32901652390389269"/>
    <x v="3"/>
    <x v="1"/>
    <x v="1"/>
    <m/>
    <x v="0"/>
  </r>
  <r>
    <x v="1"/>
    <n v="295"/>
    <s v="BOM RETIRO- GLEBAS A1B1"/>
    <s v="37"/>
    <n v="33.700000000000003"/>
    <n v="32.75"/>
    <d v="2026-02-04T00:00:00"/>
    <m/>
    <d v="2026-06-04T00:00:00"/>
    <x v="191"/>
    <n v="0.20968196769010197"/>
    <x v="1"/>
    <x v="1"/>
    <x v="1"/>
    <m/>
    <x v="0"/>
  </r>
  <r>
    <x v="1"/>
    <n v="295"/>
    <s v="BOM RETIRO- GLEBAS A1B1"/>
    <s v="38"/>
    <n v="43.4"/>
    <n v="43.32"/>
    <d v="2025-12-19T00:00:00"/>
    <m/>
    <d v="2026-04-18T00:00:00"/>
    <x v="192"/>
    <n v="0.24466369101781663"/>
    <x v="1"/>
    <x v="0"/>
    <x v="1"/>
    <m/>
    <x v="0"/>
  </r>
  <r>
    <x v="1"/>
    <n v="295"/>
    <s v="BOM RETIRO- GLEBAS A1B1"/>
    <s v="39"/>
    <n v="29.27"/>
    <n v="29.11"/>
    <d v="2025-12-17T00:00:00"/>
    <m/>
    <d v="2026-04-16T00:00:00"/>
    <x v="61"/>
    <n v="0.2507711954145258"/>
    <x v="2"/>
    <x v="0"/>
    <x v="1"/>
    <m/>
    <x v="0"/>
  </r>
  <r>
    <x v="1"/>
    <n v="295"/>
    <s v="BOM RETIRO- GLEBAS A1B1"/>
    <s v="40"/>
    <n v="17.96"/>
    <n v="16.48"/>
    <d v="2025-12-16T00:00:00"/>
    <m/>
    <d v="2026-04-15T00:00:00"/>
    <x v="107"/>
    <n v="0.31662162331951088"/>
    <x v="3"/>
    <x v="0"/>
    <x v="1"/>
    <m/>
    <x v="0"/>
  </r>
  <r>
    <x v="1"/>
    <n v="295"/>
    <s v="BOM RETIRO- GLEBAS A1B1"/>
    <s v="43"/>
    <n v="22.14"/>
    <n v="21.58"/>
    <d v="2025-12-16T00:00:00"/>
    <m/>
    <d v="2026-04-15T00:00:00"/>
    <x v="193"/>
    <n v="0.20801138672608516"/>
    <x v="1"/>
    <x v="0"/>
    <x v="1"/>
    <m/>
    <x v="0"/>
  </r>
  <r>
    <x v="1"/>
    <n v="295"/>
    <s v="BOM RETIRO- GLEBAS A1B1"/>
    <s v="44"/>
    <n v="46.67"/>
    <n v="45.2"/>
    <d v="2026-01-20T00:00:00"/>
    <m/>
    <d v="2026-05-20T00:00:00"/>
    <x v="16"/>
    <n v="0.22152108713688992"/>
    <x v="1"/>
    <x v="1"/>
    <x v="1"/>
    <m/>
    <x v="0"/>
  </r>
  <r>
    <x v="1"/>
    <n v="295"/>
    <s v="BOM RETIRO- GLEBAS A1B1"/>
    <s v="45"/>
    <n v="31.03"/>
    <n v="31.06"/>
    <d v="2025-12-12T00:00:00"/>
    <m/>
    <d v="2026-04-11T00:00:00"/>
    <x v="46"/>
    <n v="0.32492481442699422"/>
    <x v="3"/>
    <x v="0"/>
    <x v="1"/>
    <m/>
    <x v="0"/>
  </r>
  <r>
    <x v="1"/>
    <n v="295"/>
    <s v="BOM RETIRO- GLEBAS A1B1"/>
    <s v="46"/>
    <n v="37"/>
    <n v="35.43"/>
    <d v="2025-12-15T00:00:00"/>
    <m/>
    <d v="2026-04-14T00:00:00"/>
    <x v="20"/>
    <n v="0.25928324496776667"/>
    <x v="2"/>
    <x v="1"/>
    <x v="1"/>
    <m/>
    <x v="0"/>
  </r>
  <r>
    <x v="1"/>
    <n v="295"/>
    <s v="BOM RETIRO- GLEBAS A1B1"/>
    <s v="48"/>
    <n v="7.28"/>
    <n v="7.01"/>
    <d v="2025-12-15T00:00:00"/>
    <m/>
    <d v="2026-04-14T00:00:00"/>
    <x v="98"/>
    <n v="0.22831323584423383"/>
    <x v="1"/>
    <x v="1"/>
    <x v="1"/>
    <m/>
    <x v="0"/>
  </r>
  <r>
    <x v="1"/>
    <n v="295"/>
    <s v="BOM RETIRO- GLEBAS A1B1"/>
    <s v="49"/>
    <n v="13.76"/>
    <n v="13.6"/>
    <d v="2025-12-18T00:00:00"/>
    <m/>
    <d v="2026-04-17T00:00:00"/>
    <x v="194"/>
    <n v="0.32526223984675018"/>
    <x v="3"/>
    <x v="1"/>
    <x v="1"/>
    <m/>
    <x v="0"/>
  </r>
  <r>
    <x v="1"/>
    <n v="416"/>
    <s v="CREOLINHO I"/>
    <s v="1"/>
    <n v="42.79"/>
    <m/>
    <d v="2026-04-21T00:00:00"/>
    <m/>
    <d v="2026-08-19T00:00:00"/>
    <x v="124"/>
    <m/>
    <x v="6"/>
    <x v="3"/>
    <x v="2"/>
    <m/>
    <x v="0"/>
  </r>
  <r>
    <x v="1"/>
    <n v="416"/>
    <s v="CREOLINHO I"/>
    <s v="2"/>
    <n v="53.94"/>
    <m/>
    <d v="2026-04-20T00:00:00"/>
    <m/>
    <d v="2026-08-18T00:00:00"/>
    <x v="124"/>
    <m/>
    <x v="6"/>
    <x v="3"/>
    <x v="2"/>
    <m/>
    <x v="0"/>
  </r>
  <r>
    <x v="1"/>
    <n v="416"/>
    <s v="CREOLINHO I"/>
    <s v="3"/>
    <n v="19.27"/>
    <m/>
    <d v="2026-04-16T00:00:00"/>
    <m/>
    <d v="2026-08-14T00:00:00"/>
    <x v="124"/>
    <m/>
    <x v="6"/>
    <x v="3"/>
    <x v="2"/>
    <m/>
    <x v="0"/>
  </r>
  <r>
    <x v="1"/>
    <n v="416"/>
    <s v="CREOLINHO II III E IV"/>
    <s v="4"/>
    <n v="59.12"/>
    <m/>
    <d v="2026-04-29T00:00:00"/>
    <m/>
    <d v="2026-08-27T00:00:00"/>
    <x v="124"/>
    <m/>
    <x v="6"/>
    <x v="3"/>
    <x v="2"/>
    <m/>
    <x v="0"/>
  </r>
  <r>
    <x v="1"/>
    <n v="416"/>
    <s v="CREOLINHO II III E IV"/>
    <s v="5"/>
    <n v="14.89"/>
    <m/>
    <d v="2026-04-23T00:00:00"/>
    <m/>
    <d v="2026-08-21T00:00:00"/>
    <x v="124"/>
    <m/>
    <x v="6"/>
    <x v="3"/>
    <x v="2"/>
    <m/>
    <x v="0"/>
  </r>
  <r>
    <x v="1"/>
    <n v="416"/>
    <s v="CREOLINHO II III E IV"/>
    <s v="6"/>
    <n v="44.87"/>
    <m/>
    <d v="2026-04-28T00:00:00"/>
    <m/>
    <d v="2026-08-26T00:00:00"/>
    <x v="124"/>
    <m/>
    <x v="6"/>
    <x v="3"/>
    <x v="2"/>
    <m/>
    <x v="0"/>
  </r>
  <r>
    <x v="1"/>
    <n v="416"/>
    <s v="CREOLINHO II III E IV"/>
    <s v="7"/>
    <n v="2.74"/>
    <m/>
    <d v="2026-04-24T00:00:00"/>
    <m/>
    <d v="2026-08-22T00:00:00"/>
    <x v="124"/>
    <m/>
    <x v="6"/>
    <x v="3"/>
    <x v="2"/>
    <m/>
    <x v="0"/>
  </r>
  <r>
    <x v="1"/>
    <n v="416"/>
    <s v="CREOLINHO II III E IV"/>
    <s v="8"/>
    <n v="8.26"/>
    <m/>
    <d v="2026-04-21T00:00:00"/>
    <m/>
    <d v="2026-08-19T00:00:00"/>
    <x v="124"/>
    <m/>
    <x v="6"/>
    <x v="3"/>
    <x v="2"/>
    <m/>
    <x v="0"/>
  </r>
  <r>
    <x v="1"/>
    <n v="450"/>
    <s v="RECANTO-BORTOLETTO"/>
    <s v="11"/>
    <n v="21.72"/>
    <n v="21.67"/>
    <d v="2025-12-18T00:00:00"/>
    <m/>
    <d v="2026-04-17T00:00:00"/>
    <x v="195"/>
    <n v="0.16741562968041115"/>
    <x v="0"/>
    <x v="1"/>
    <x v="0"/>
    <m/>
    <x v="0"/>
  </r>
  <r>
    <x v="1"/>
    <n v="450"/>
    <s v="RECANTO-BORTOLETTO"/>
    <s v="12"/>
    <n v="34.58"/>
    <n v="34.79"/>
    <d v="2025-12-17T00:00:00"/>
    <m/>
    <d v="2026-04-16T00:00:00"/>
    <x v="158"/>
    <n v="0.15063518413059127"/>
    <x v="0"/>
    <x v="0"/>
    <x v="0"/>
    <m/>
    <x v="0"/>
  </r>
  <r>
    <x v="1"/>
    <n v="450"/>
    <s v="RECANTO-BORTOLETTO"/>
    <s v="13"/>
    <n v="29.43"/>
    <n v="29.88"/>
    <d v="2025-12-15T00:00:00"/>
    <m/>
    <d v="2026-04-14T00:00:00"/>
    <x v="6"/>
    <n v="0.49099861055226868"/>
    <x v="8"/>
    <x v="1"/>
    <x v="3"/>
    <m/>
    <x v="0"/>
  </r>
  <r>
    <x v="1"/>
    <n v="450"/>
    <s v="RECANTO-BORTOLETTO"/>
    <s v="14"/>
    <n v="57.7"/>
    <n v="58.55"/>
    <d v="2025-12-18T00:00:00"/>
    <m/>
    <d v="2026-04-17T00:00:00"/>
    <x v="196"/>
    <n v="0.1883673570063574"/>
    <x v="0"/>
    <x v="0"/>
    <x v="0"/>
    <m/>
    <x v="0"/>
  </r>
  <r>
    <x v="1"/>
    <n v="450"/>
    <s v="RECANTO-BORTOLETTO"/>
    <s v="15"/>
    <n v="28.32"/>
    <n v="28.19"/>
    <d v="2025-12-10T00:00:00"/>
    <m/>
    <d v="2026-04-09T00:00:00"/>
    <x v="197"/>
    <n v="0.21141569659116699"/>
    <x v="1"/>
    <x v="0"/>
    <x v="1"/>
    <m/>
    <x v="0"/>
  </r>
  <r>
    <x v="1"/>
    <n v="450"/>
    <s v="RECANTO-BORTOLETTO"/>
    <s v="16"/>
    <n v="26.9"/>
    <n v="26.64"/>
    <d v="2025-11-28T00:00:00"/>
    <m/>
    <d v="2026-03-28T00:00:00"/>
    <x v="198"/>
    <n v="0.1620605534609553"/>
    <x v="0"/>
    <x v="0"/>
    <x v="0"/>
    <m/>
    <x v="0"/>
  </r>
  <r>
    <x v="1"/>
    <n v="450"/>
    <s v="RECANTO-BORTOLETTO"/>
    <s v="2A"/>
    <n v="56.24"/>
    <n v="56.08"/>
    <d v="2025-11-25T00:00:00"/>
    <m/>
    <d v="2026-03-25T00:00:00"/>
    <x v="199"/>
    <n v="0.12406094414536063"/>
    <x v="4"/>
    <x v="1"/>
    <x v="0"/>
    <m/>
    <x v="0"/>
  </r>
  <r>
    <x v="1"/>
    <n v="450"/>
    <s v="RECANTO-BORTOLETTO"/>
    <s v="3A"/>
    <n v="40.83"/>
    <n v="41.23"/>
    <d v="2025-12-08T00:00:00"/>
    <m/>
    <d v="2026-04-07T00:00:00"/>
    <x v="200"/>
    <n v="0.14838363217697739"/>
    <x v="4"/>
    <x v="0"/>
    <x v="0"/>
    <m/>
    <x v="0"/>
  </r>
  <r>
    <x v="1"/>
    <n v="450"/>
    <s v="RECANTO-BORTOLETTO"/>
    <s v="6A"/>
    <n v="31.36"/>
    <n v="30.9"/>
    <d v="2025-12-06T00:00:00"/>
    <m/>
    <d v="2026-04-05T00:00:00"/>
    <x v="201"/>
    <n v="0.12452588177328559"/>
    <x v="4"/>
    <x v="0"/>
    <x v="0"/>
    <m/>
    <x v="0"/>
  </r>
  <r>
    <x v="1"/>
    <n v="450"/>
    <s v="RECANTO-BORTOLETTO"/>
    <s v="7A"/>
    <n v="19.25"/>
    <n v="19.03"/>
    <d v="2025-12-09T00:00:00"/>
    <m/>
    <d v="2026-04-08T00:00:00"/>
    <x v="202"/>
    <n v="0.10688308906167082"/>
    <x v="4"/>
    <x v="0"/>
    <x v="0"/>
    <m/>
    <x v="0"/>
  </r>
  <r>
    <x v="1"/>
    <n v="471"/>
    <s v="ÍNDIA"/>
    <s v="11"/>
    <n v="43.19"/>
    <n v="42.62"/>
    <d v="2025-12-15T00:00:00"/>
    <m/>
    <d v="2026-04-14T00:00:00"/>
    <x v="203"/>
    <n v="0.26240975736762451"/>
    <x v="2"/>
    <x v="0"/>
    <x v="1"/>
    <m/>
    <x v="0"/>
  </r>
  <r>
    <x v="1"/>
    <n v="471"/>
    <s v="ÍNDIA"/>
    <s v="8"/>
    <n v="47.35"/>
    <n v="46.03"/>
    <d v="2025-12-12T00:00:00"/>
    <m/>
    <d v="2026-04-11T00:00:00"/>
    <x v="204"/>
    <n v="0.1106596398293035"/>
    <x v="4"/>
    <x v="0"/>
    <x v="0"/>
    <m/>
    <x v="0"/>
  </r>
  <r>
    <x v="1"/>
    <n v="471"/>
    <s v="ÍNDIA"/>
    <s v="9"/>
    <n v="27.78"/>
    <n v="27.27"/>
    <d v="2025-12-17T00:00:00"/>
    <m/>
    <d v="2026-04-16T00:00:00"/>
    <x v="205"/>
    <n v="0.28605167051265123"/>
    <x v="2"/>
    <x v="0"/>
    <x v="1"/>
    <m/>
    <x v="0"/>
  </r>
  <r>
    <x v="1"/>
    <n v="489"/>
    <s v="CANIVETE-RIBAS"/>
    <s v="19"/>
    <n v="42.37"/>
    <n v="42.36"/>
    <d v="2026-03-03T00:00:00"/>
    <m/>
    <d v="2026-07-01T00:00:00"/>
    <x v="206"/>
    <n v="0.21336727476165107"/>
    <x v="1"/>
    <x v="1"/>
    <x v="1"/>
    <m/>
    <x v="0"/>
  </r>
  <r>
    <x v="1"/>
    <n v="489"/>
    <s v="CANIVETE-RIBAS"/>
    <s v="23"/>
    <n v="44.53"/>
    <n v="43.49"/>
    <d v="2026-03-10T00:00:00"/>
    <m/>
    <d v="2026-07-08T00:00:00"/>
    <x v="207"/>
    <m/>
    <x v="6"/>
    <x v="1"/>
    <x v="2"/>
    <m/>
    <x v="0"/>
  </r>
  <r>
    <x v="1"/>
    <n v="489"/>
    <s v="CANIVETE-RIBAS"/>
    <s v="31"/>
    <n v="33.96"/>
    <n v="31.84"/>
    <d v="2026-03-02T00:00:00"/>
    <m/>
    <d v="2026-06-30T00:00:00"/>
    <x v="208"/>
    <n v="0.29344594091326837"/>
    <x v="2"/>
    <x v="1"/>
    <x v="1"/>
    <m/>
    <x v="0"/>
  </r>
  <r>
    <x v="1"/>
    <n v="489"/>
    <s v="CANIVETE-RIBAS"/>
    <s v="33"/>
    <n v="39.450000000000003"/>
    <n v="36.44"/>
    <d v="2026-03-06T00:00:00"/>
    <m/>
    <d v="2026-07-04T00:00:00"/>
    <x v="209"/>
    <n v="0.24427490077257921"/>
    <x v="1"/>
    <x v="1"/>
    <x v="1"/>
    <m/>
    <x v="0"/>
  </r>
  <r>
    <x v="1"/>
    <n v="489"/>
    <s v="CANIVETE-RIBAS"/>
    <s v="33A"/>
    <n v="1.79"/>
    <n v="1.28"/>
    <d v="2026-03-11T00:00:00"/>
    <m/>
    <d v="2026-07-09T00:00:00"/>
    <x v="210"/>
    <n v="0.37443929895568112"/>
    <x v="5"/>
    <x v="1"/>
    <x v="1"/>
    <m/>
    <x v="0"/>
  </r>
  <r>
    <x v="1"/>
    <n v="489"/>
    <s v="CANIVETE-RIBAS"/>
    <s v="34"/>
    <n v="27.49"/>
    <n v="26.42"/>
    <d v="2026-02-17T00:00:00"/>
    <m/>
    <d v="2026-06-17T00:00:00"/>
    <x v="211"/>
    <n v="0.26250774351415362"/>
    <x v="2"/>
    <x v="1"/>
    <x v="1"/>
    <m/>
    <x v="0"/>
  </r>
  <r>
    <x v="1"/>
    <n v="489"/>
    <s v="CANIVETE-RIBAS"/>
    <s v="44"/>
    <n v="6.28"/>
    <n v="6.01"/>
    <d v="2026-02-04T00:00:00"/>
    <m/>
    <d v="2026-06-04T00:00:00"/>
    <x v="212"/>
    <n v="0.24029581111268783"/>
    <x v="1"/>
    <x v="4"/>
    <x v="1"/>
    <m/>
    <x v="0"/>
  </r>
  <r>
    <x v="1"/>
    <n v="495"/>
    <s v="SÃO GABRIEL - ROBERTO BARROS"/>
    <s v="1"/>
    <n v="13.95"/>
    <m/>
    <d v="2026-05-08T00:00:00"/>
    <m/>
    <d v="2026-09-05T00:00:00"/>
    <x v="124"/>
    <m/>
    <x v="6"/>
    <x v="3"/>
    <x v="2"/>
    <m/>
    <x v="1"/>
  </r>
  <r>
    <x v="1"/>
    <n v="495"/>
    <s v="SÃO GABRIEL - ROBERTO BARROS"/>
    <s v="10"/>
    <n v="6.54"/>
    <m/>
    <d v="2026-05-11T00:00:00"/>
    <m/>
    <d v="2026-09-08T00:00:00"/>
    <x v="124"/>
    <m/>
    <x v="6"/>
    <x v="3"/>
    <x v="2"/>
    <m/>
    <x v="1"/>
  </r>
  <r>
    <x v="1"/>
    <n v="495"/>
    <s v="SÃO GABRIEL - ROBERTO BARROS"/>
    <s v="11"/>
    <n v="10.34"/>
    <m/>
    <d v="2026-05-06T00:00:00"/>
    <m/>
    <d v="2026-09-03T00:00:00"/>
    <x v="124"/>
    <m/>
    <x v="6"/>
    <x v="3"/>
    <x v="2"/>
    <m/>
    <x v="1"/>
  </r>
  <r>
    <x v="1"/>
    <n v="495"/>
    <s v="SÃO GABRIEL - ROBERTO BARROS"/>
    <s v="13"/>
    <n v="6.02"/>
    <m/>
    <d v="2026-05-15T00:00:00"/>
    <m/>
    <d v="2026-09-12T00:00:00"/>
    <x v="124"/>
    <m/>
    <x v="6"/>
    <x v="3"/>
    <x v="2"/>
    <m/>
    <x v="1"/>
  </r>
  <r>
    <x v="1"/>
    <n v="495"/>
    <s v="SÃO GABRIEL - ROBERTO BARROS"/>
    <s v="2"/>
    <n v="27.77"/>
    <m/>
    <d v="2026-05-15T00:00:00"/>
    <m/>
    <d v="2026-09-12T00:00:00"/>
    <x v="124"/>
    <m/>
    <x v="6"/>
    <x v="3"/>
    <x v="2"/>
    <m/>
    <x v="1"/>
  </r>
  <r>
    <x v="1"/>
    <n v="495"/>
    <s v="SÃO GABRIEL - ROBERTO BARROS"/>
    <s v="3"/>
    <n v="28.58"/>
    <m/>
    <d v="2026-05-11T00:00:00"/>
    <m/>
    <d v="2026-09-08T00:00:00"/>
    <x v="124"/>
    <m/>
    <x v="6"/>
    <x v="3"/>
    <x v="2"/>
    <m/>
    <x v="1"/>
  </r>
  <r>
    <x v="1"/>
    <n v="495"/>
    <s v="SÃO GABRIEL - ROBERTO BARROS"/>
    <s v="4"/>
    <n v="24.45"/>
    <m/>
    <d v="2026-05-14T00:00:00"/>
    <m/>
    <d v="2026-09-11T00:00:00"/>
    <x v="124"/>
    <m/>
    <x v="6"/>
    <x v="3"/>
    <x v="2"/>
    <m/>
    <x v="1"/>
  </r>
  <r>
    <x v="1"/>
    <n v="495"/>
    <s v="SÃO GABRIEL - ROBERTO BARROS"/>
    <s v="5"/>
    <n v="20.73"/>
    <m/>
    <d v="2026-05-05T00:00:00"/>
    <m/>
    <d v="2026-09-02T00:00:00"/>
    <x v="124"/>
    <m/>
    <x v="6"/>
    <x v="3"/>
    <x v="2"/>
    <m/>
    <x v="1"/>
  </r>
  <r>
    <x v="1"/>
    <n v="495"/>
    <s v="SÃO GABRIEL - ROBERTO BARROS"/>
    <s v="6"/>
    <n v="24.53"/>
    <m/>
    <d v="2026-04-30T00:00:00"/>
    <m/>
    <d v="2026-08-28T00:00:00"/>
    <x v="124"/>
    <m/>
    <x v="6"/>
    <x v="3"/>
    <x v="2"/>
    <m/>
    <x v="1"/>
  </r>
  <r>
    <x v="1"/>
    <n v="495"/>
    <s v="SÃO GABRIEL - ROBERTO BARROS"/>
    <s v="8"/>
    <n v="23.73"/>
    <m/>
    <d v="2026-05-15T00:00:00"/>
    <m/>
    <d v="2026-09-12T00:00:00"/>
    <x v="124"/>
    <m/>
    <x v="6"/>
    <x v="3"/>
    <x v="2"/>
    <m/>
    <x v="1"/>
  </r>
  <r>
    <x v="1"/>
    <n v="495"/>
    <s v="SÃO GABRIEL - ROBERTO BARROS"/>
    <s v="9"/>
    <n v="42.66"/>
    <m/>
    <d v="2026-04-21T00:00:00"/>
    <m/>
    <d v="2026-08-19T00:00:00"/>
    <x v="124"/>
    <m/>
    <x v="6"/>
    <x v="3"/>
    <x v="2"/>
    <m/>
    <x v="1"/>
  </r>
  <r>
    <x v="1"/>
    <n v="55"/>
    <s v="SANTA IRACEMA"/>
    <s v="1"/>
    <n v="28.35"/>
    <m/>
    <d v="2026-03-31T00:00:00"/>
    <m/>
    <d v="2026-07-29T00:00:00"/>
    <x v="124"/>
    <m/>
    <x v="6"/>
    <x v="3"/>
    <x v="2"/>
    <m/>
    <x v="0"/>
  </r>
  <r>
    <x v="1"/>
    <n v="55"/>
    <s v="SANTA IRACEMA"/>
    <s v="10"/>
    <n v="30.78"/>
    <m/>
    <d v="2026-04-17T00:00:00"/>
    <m/>
    <d v="2026-08-15T00:00:00"/>
    <x v="124"/>
    <m/>
    <x v="6"/>
    <x v="3"/>
    <x v="2"/>
    <m/>
    <x v="0"/>
  </r>
  <r>
    <x v="1"/>
    <n v="55"/>
    <s v="SANTA IRACEMA"/>
    <s v="11"/>
    <n v="11.91"/>
    <m/>
    <d v="2026-04-20T00:00:00"/>
    <m/>
    <d v="2026-08-18T00:00:00"/>
    <x v="124"/>
    <m/>
    <x v="6"/>
    <x v="3"/>
    <x v="2"/>
    <m/>
    <x v="0"/>
  </r>
  <r>
    <x v="1"/>
    <n v="55"/>
    <s v="SANTA IRACEMA"/>
    <s v="11A"/>
    <n v="12.38"/>
    <m/>
    <d v="2026-04-20T00:00:00"/>
    <m/>
    <d v="2026-08-18T00:00:00"/>
    <x v="124"/>
    <m/>
    <x v="6"/>
    <x v="3"/>
    <x v="2"/>
    <m/>
    <x v="0"/>
  </r>
  <r>
    <x v="1"/>
    <n v="55"/>
    <s v="SANTA IRACEMA"/>
    <s v="2"/>
    <n v="40.65"/>
    <m/>
    <d v="2026-04-02T00:00:00"/>
    <m/>
    <d v="2026-07-31T00:00:00"/>
    <x v="124"/>
    <m/>
    <x v="6"/>
    <x v="3"/>
    <x v="2"/>
    <m/>
    <x v="0"/>
  </r>
  <r>
    <x v="1"/>
    <n v="55"/>
    <s v="SANTA IRACEMA"/>
    <s v="3"/>
    <n v="20.58"/>
    <m/>
    <d v="2026-04-03T00:00:00"/>
    <m/>
    <d v="2026-08-01T00:00:00"/>
    <x v="124"/>
    <m/>
    <x v="6"/>
    <x v="3"/>
    <x v="2"/>
    <m/>
    <x v="0"/>
  </r>
  <r>
    <x v="1"/>
    <n v="55"/>
    <s v="SANTA IRACEMA"/>
    <s v="4"/>
    <n v="17.32"/>
    <m/>
    <d v="2026-04-06T00:00:00"/>
    <m/>
    <d v="2026-08-04T00:00:00"/>
    <x v="124"/>
    <m/>
    <x v="6"/>
    <x v="3"/>
    <x v="2"/>
    <m/>
    <x v="0"/>
  </r>
  <r>
    <x v="1"/>
    <n v="55"/>
    <s v="SANTA IRACEMA"/>
    <s v="5"/>
    <n v="20.46"/>
    <m/>
    <d v="2026-04-07T00:00:00"/>
    <m/>
    <d v="2026-08-05T00:00:00"/>
    <x v="124"/>
    <m/>
    <x v="6"/>
    <x v="3"/>
    <x v="2"/>
    <m/>
    <x v="0"/>
  </r>
  <r>
    <x v="1"/>
    <n v="55"/>
    <s v="SANTA IRACEMA"/>
    <s v="6"/>
    <n v="14.63"/>
    <m/>
    <d v="2026-04-08T00:00:00"/>
    <m/>
    <d v="2026-08-06T00:00:00"/>
    <x v="124"/>
    <m/>
    <x v="6"/>
    <x v="3"/>
    <x v="2"/>
    <m/>
    <x v="0"/>
  </r>
  <r>
    <x v="1"/>
    <n v="55"/>
    <s v="SANTA IRACEMA"/>
    <s v="7"/>
    <n v="23.24"/>
    <m/>
    <d v="2026-04-13T00:00:00"/>
    <m/>
    <d v="2026-08-11T00:00:00"/>
    <x v="124"/>
    <m/>
    <x v="6"/>
    <x v="3"/>
    <x v="2"/>
    <m/>
    <x v="0"/>
  </r>
  <r>
    <x v="1"/>
    <n v="55"/>
    <s v="SANTA IRACEMA"/>
    <s v="8"/>
    <n v="53.89"/>
    <m/>
    <d v="2026-04-10T00:00:00"/>
    <m/>
    <d v="2026-08-08T00:00:00"/>
    <x v="124"/>
    <m/>
    <x v="6"/>
    <x v="3"/>
    <x v="2"/>
    <m/>
    <x v="0"/>
  </r>
  <r>
    <x v="1"/>
    <n v="55"/>
    <s v="SANTA IRACEMA"/>
    <s v="9"/>
    <n v="53.65"/>
    <m/>
    <d v="2026-04-16T00:00:00"/>
    <m/>
    <d v="2026-08-14T00:00:00"/>
    <x v="124"/>
    <m/>
    <x v="6"/>
    <x v="3"/>
    <x v="2"/>
    <m/>
    <x v="0"/>
  </r>
  <r>
    <x v="1"/>
    <n v="591"/>
    <s v="SANTA LUZIA - FERNANDO BOMFIM"/>
    <s v="13"/>
    <n v="52.12"/>
    <m/>
    <d v="2026-04-13T00:00:00"/>
    <m/>
    <d v="2026-08-11T00:00:00"/>
    <x v="124"/>
    <m/>
    <x v="6"/>
    <x v="3"/>
    <x v="2"/>
    <m/>
    <x v="0"/>
  </r>
  <r>
    <x v="1"/>
    <n v="591"/>
    <s v="SANTA LUZIA - FERNANDO BOMFIM"/>
    <s v="20"/>
    <n v="60.05"/>
    <m/>
    <d v="2026-04-21T00:00:00"/>
    <m/>
    <d v="2026-08-19T00:00:00"/>
    <x v="124"/>
    <m/>
    <x v="6"/>
    <x v="3"/>
    <x v="2"/>
    <m/>
    <x v="0"/>
  </r>
  <r>
    <x v="1"/>
    <n v="591"/>
    <s v="SANTA LUZIA - FERNANDO BOMFIM"/>
    <s v="22"/>
    <n v="42.56"/>
    <m/>
    <d v="2026-04-10T00:00:00"/>
    <m/>
    <d v="2026-08-08T00:00:00"/>
    <x v="124"/>
    <m/>
    <x v="6"/>
    <x v="3"/>
    <x v="2"/>
    <m/>
    <x v="0"/>
  </r>
  <r>
    <x v="1"/>
    <n v="591"/>
    <s v="SANTA LUZIA - FERNANDO BOMFIM"/>
    <s v="23"/>
    <n v="48.57"/>
    <m/>
    <d v="2026-04-15T00:00:00"/>
    <m/>
    <d v="2026-08-13T00:00:00"/>
    <x v="124"/>
    <m/>
    <x v="6"/>
    <x v="3"/>
    <x v="2"/>
    <m/>
    <x v="0"/>
  </r>
  <r>
    <x v="1"/>
    <n v="591"/>
    <s v="SANTA LUZIA - FERNANDO BOMFIM"/>
    <s v="26"/>
    <n v="31.06"/>
    <m/>
    <d v="2026-04-14T00:00:00"/>
    <m/>
    <d v="2026-08-12T00:00:00"/>
    <x v="124"/>
    <m/>
    <x v="6"/>
    <x v="3"/>
    <x v="2"/>
    <m/>
    <x v="0"/>
  </r>
  <r>
    <x v="1"/>
    <n v="591"/>
    <s v="SANTA LUZIA - FERNANDO BOMFIM"/>
    <s v="27"/>
    <n v="30.6"/>
    <m/>
    <d v="2026-04-16T00:00:00"/>
    <m/>
    <d v="2026-08-14T00:00:00"/>
    <x v="124"/>
    <m/>
    <x v="6"/>
    <x v="3"/>
    <x v="2"/>
    <m/>
    <x v="0"/>
  </r>
  <r>
    <x v="1"/>
    <n v="591"/>
    <s v="SANTA LUZIA - FERNANDO BOMFIM"/>
    <s v="28A"/>
    <n v="3"/>
    <m/>
    <d v="2026-04-21T00:00:00"/>
    <m/>
    <d v="2026-08-19T00:00:00"/>
    <x v="124"/>
    <m/>
    <x v="6"/>
    <x v="3"/>
    <x v="2"/>
    <m/>
    <x v="0"/>
  </r>
  <r>
    <x v="1"/>
    <n v="591"/>
    <s v="SANTA LUZIA - FERNANDO BOMFIM"/>
    <s v="31"/>
    <n v="44.14"/>
    <m/>
    <d v="2026-04-28T00:00:00"/>
    <m/>
    <d v="2026-08-26T00:00:00"/>
    <x v="124"/>
    <m/>
    <x v="6"/>
    <x v="3"/>
    <x v="2"/>
    <m/>
    <x v="0"/>
  </r>
  <r>
    <x v="1"/>
    <n v="591"/>
    <s v="SANTA LUZIA - FERNANDO BOMFIM"/>
    <s v="33"/>
    <n v="64.63"/>
    <m/>
    <d v="2026-05-07T00:00:00"/>
    <m/>
    <d v="2026-09-04T00:00:00"/>
    <x v="124"/>
    <m/>
    <x v="6"/>
    <x v="3"/>
    <x v="2"/>
    <m/>
    <x v="0"/>
  </r>
  <r>
    <x v="1"/>
    <n v="591"/>
    <s v="SANTA LUZIA - FERNANDO BOMFIM"/>
    <s v="36A"/>
    <n v="31.98"/>
    <m/>
    <d v="2026-05-11T00:00:00"/>
    <m/>
    <d v="2026-09-08T00:00:00"/>
    <x v="124"/>
    <m/>
    <x v="6"/>
    <x v="3"/>
    <x v="2"/>
    <m/>
    <x v="0"/>
  </r>
  <r>
    <x v="1"/>
    <n v="591"/>
    <s v="SANTA LUZIA - FERNANDO BOMFIM"/>
    <s v="29A"/>
    <n v="33.96"/>
    <m/>
    <d v="2026-04-27T00:00:00"/>
    <m/>
    <d v="2026-08-25T00:00:00"/>
    <x v="124"/>
    <m/>
    <x v="6"/>
    <x v="3"/>
    <x v="2"/>
    <m/>
    <x v="0"/>
  </r>
  <r>
    <x v="1"/>
    <n v="729"/>
    <s v="FORMOSO"/>
    <s v="1"/>
    <n v="8.52"/>
    <m/>
    <d v="2026-04-21T00:00:00"/>
    <m/>
    <d v="2026-08-19T00:00:00"/>
    <x v="124"/>
    <m/>
    <x v="6"/>
    <x v="3"/>
    <x v="2"/>
    <m/>
    <x v="2"/>
  </r>
  <r>
    <x v="1"/>
    <n v="729"/>
    <s v="FORMOSO"/>
    <s v="10"/>
    <n v="10.85"/>
    <m/>
    <d v="2026-04-16T00:00:00"/>
    <m/>
    <d v="2026-08-14T00:00:00"/>
    <x v="124"/>
    <m/>
    <x v="6"/>
    <x v="3"/>
    <x v="2"/>
    <m/>
    <x v="2"/>
  </r>
  <r>
    <x v="1"/>
    <n v="729"/>
    <s v="FORMOSO"/>
    <s v="11"/>
    <n v="7.4"/>
    <m/>
    <d v="2026-04-16T00:00:00"/>
    <m/>
    <d v="2026-08-14T00:00:00"/>
    <x v="124"/>
    <m/>
    <x v="6"/>
    <x v="3"/>
    <x v="2"/>
    <m/>
    <x v="2"/>
  </r>
  <r>
    <x v="1"/>
    <n v="729"/>
    <s v="FORMOSO"/>
    <s v="12"/>
    <n v="10.47"/>
    <m/>
    <d v="2026-04-17T00:00:00"/>
    <m/>
    <d v="2026-08-15T00:00:00"/>
    <x v="124"/>
    <m/>
    <x v="6"/>
    <x v="3"/>
    <x v="2"/>
    <m/>
    <x v="2"/>
  </r>
  <r>
    <x v="1"/>
    <n v="729"/>
    <s v="FORMOSO"/>
    <s v="13"/>
    <n v="6.04"/>
    <m/>
    <d v="2026-04-21T00:00:00"/>
    <m/>
    <d v="2026-08-19T00:00:00"/>
    <x v="124"/>
    <m/>
    <x v="6"/>
    <x v="3"/>
    <x v="2"/>
    <m/>
    <x v="2"/>
  </r>
  <r>
    <x v="1"/>
    <n v="729"/>
    <s v="FORMOSO"/>
    <s v="14"/>
    <n v="6.26"/>
    <m/>
    <d v="2026-04-21T00:00:00"/>
    <m/>
    <d v="2026-08-19T00:00:00"/>
    <x v="124"/>
    <m/>
    <x v="6"/>
    <x v="3"/>
    <x v="2"/>
    <m/>
    <x v="2"/>
  </r>
  <r>
    <x v="1"/>
    <n v="729"/>
    <s v="FORMOSO"/>
    <s v="15"/>
    <n v="6.07"/>
    <m/>
    <d v="2026-04-27T00:00:00"/>
    <m/>
    <d v="2026-08-25T00:00:00"/>
    <x v="124"/>
    <m/>
    <x v="6"/>
    <x v="3"/>
    <x v="2"/>
    <m/>
    <x v="2"/>
  </r>
  <r>
    <x v="1"/>
    <n v="729"/>
    <s v="FORMOSO"/>
    <s v="2"/>
    <n v="3.49"/>
    <m/>
    <d v="2026-04-15T00:00:00"/>
    <m/>
    <d v="2026-08-13T00:00:00"/>
    <x v="124"/>
    <m/>
    <x v="6"/>
    <x v="3"/>
    <x v="2"/>
    <m/>
    <x v="2"/>
  </r>
  <r>
    <x v="1"/>
    <n v="729"/>
    <s v="FORMOSO"/>
    <s v="3"/>
    <n v="6.04"/>
    <m/>
    <d v="2026-04-14T00:00:00"/>
    <m/>
    <d v="2026-08-12T00:00:00"/>
    <x v="124"/>
    <m/>
    <x v="6"/>
    <x v="3"/>
    <x v="2"/>
    <m/>
    <x v="2"/>
  </r>
  <r>
    <x v="1"/>
    <n v="729"/>
    <s v="FORMOSO"/>
    <s v="4"/>
    <n v="2.71"/>
    <m/>
    <d v="2026-04-14T00:00:00"/>
    <m/>
    <d v="2026-08-12T00:00:00"/>
    <x v="124"/>
    <m/>
    <x v="6"/>
    <x v="3"/>
    <x v="2"/>
    <m/>
    <x v="2"/>
  </r>
  <r>
    <x v="1"/>
    <n v="729"/>
    <s v="FORMOSO"/>
    <s v="5"/>
    <n v="16.53"/>
    <m/>
    <d v="2026-04-20T00:00:00"/>
    <m/>
    <d v="2026-08-18T00:00:00"/>
    <x v="124"/>
    <m/>
    <x v="6"/>
    <x v="3"/>
    <x v="2"/>
    <m/>
    <x v="2"/>
  </r>
  <r>
    <x v="1"/>
    <n v="729"/>
    <s v="FORMOSO"/>
    <s v="6"/>
    <n v="16.670000000000002"/>
    <m/>
    <d v="2026-04-14T00:00:00"/>
    <m/>
    <d v="2026-08-12T00:00:00"/>
    <x v="124"/>
    <m/>
    <x v="6"/>
    <x v="3"/>
    <x v="2"/>
    <m/>
    <x v="2"/>
  </r>
  <r>
    <x v="1"/>
    <n v="729"/>
    <s v="FORMOSO"/>
    <s v="7"/>
    <n v="16.93"/>
    <m/>
    <d v="2026-04-20T00:00:00"/>
    <m/>
    <d v="2026-08-18T00:00:00"/>
    <x v="124"/>
    <m/>
    <x v="6"/>
    <x v="3"/>
    <x v="2"/>
    <m/>
    <x v="2"/>
  </r>
  <r>
    <x v="1"/>
    <n v="729"/>
    <s v="FORMOSO"/>
    <s v="8"/>
    <n v="12.7"/>
    <m/>
    <d v="2026-04-21T00:00:00"/>
    <m/>
    <d v="2026-08-19T00:00:00"/>
    <x v="124"/>
    <m/>
    <x v="6"/>
    <x v="3"/>
    <x v="2"/>
    <m/>
    <x v="2"/>
  </r>
  <r>
    <x v="1"/>
    <n v="729"/>
    <s v="FORMOSO"/>
    <s v="9"/>
    <n v="2.64"/>
    <m/>
    <d v="2026-04-28T00:00:00"/>
    <m/>
    <d v="2026-08-26T00:00:00"/>
    <x v="124"/>
    <m/>
    <x v="6"/>
    <x v="3"/>
    <x v="2"/>
    <m/>
    <x v="2"/>
  </r>
  <r>
    <x v="1"/>
    <n v="759"/>
    <s v="VITORIA VEDUVOTO"/>
    <s v="14"/>
    <n v="12.55"/>
    <m/>
    <d v="2026-04-13T00:00:00"/>
    <m/>
    <d v="2026-08-11T00:00:00"/>
    <x v="124"/>
    <m/>
    <x v="6"/>
    <x v="3"/>
    <x v="2"/>
    <m/>
    <x v="1"/>
  </r>
  <r>
    <x v="1"/>
    <n v="759"/>
    <s v="VITORIA VEDUVOTO"/>
    <s v="15"/>
    <n v="15.49"/>
    <m/>
    <d v="2026-04-07T00:00:00"/>
    <m/>
    <d v="2026-08-05T00:00:00"/>
    <x v="124"/>
    <m/>
    <x v="6"/>
    <x v="3"/>
    <x v="2"/>
    <m/>
    <x v="1"/>
  </r>
  <r>
    <x v="1"/>
    <n v="759"/>
    <s v="VITORIA VEDUVOTO"/>
    <s v="16"/>
    <n v="17.149999999999999"/>
    <m/>
    <d v="2026-04-14T00:00:00"/>
    <m/>
    <d v="2026-08-12T00:00:00"/>
    <x v="124"/>
    <m/>
    <x v="6"/>
    <x v="3"/>
    <x v="2"/>
    <m/>
    <x v="1"/>
  </r>
  <r>
    <x v="1"/>
    <n v="759"/>
    <s v="VITORIA VEDUVOTO"/>
    <s v="17"/>
    <n v="9.94"/>
    <m/>
    <d v="2026-04-08T00:00:00"/>
    <m/>
    <d v="2026-08-06T00:00:00"/>
    <x v="124"/>
    <m/>
    <x v="6"/>
    <x v="3"/>
    <x v="2"/>
    <m/>
    <x v="1"/>
  </r>
  <r>
    <x v="1"/>
    <n v="759"/>
    <s v="VITORIA VEDUVOTO"/>
    <s v="18"/>
    <n v="10.56"/>
    <m/>
    <d v="2026-04-09T00:00:00"/>
    <m/>
    <d v="2026-08-07T00:00:00"/>
    <x v="124"/>
    <m/>
    <x v="6"/>
    <x v="3"/>
    <x v="2"/>
    <m/>
    <x v="1"/>
  </r>
  <r>
    <x v="1"/>
    <n v="759"/>
    <s v="VITORIA VEDUVOTO"/>
    <s v="19"/>
    <n v="19.32"/>
    <m/>
    <d v="2026-04-15T00:00:00"/>
    <m/>
    <d v="2026-08-13T00:00:00"/>
    <x v="124"/>
    <m/>
    <x v="6"/>
    <x v="3"/>
    <x v="2"/>
    <m/>
    <x v="1"/>
  </r>
  <r>
    <x v="1"/>
    <n v="761"/>
    <s v="CORREGO DO OURO"/>
    <s v="1"/>
    <n v="19.670000000000002"/>
    <m/>
    <d v="2026-04-27T00:00:00"/>
    <m/>
    <d v="2026-08-25T00:00:00"/>
    <x v="124"/>
    <m/>
    <x v="6"/>
    <x v="3"/>
    <x v="2"/>
    <m/>
    <x v="2"/>
  </r>
  <r>
    <x v="1"/>
    <n v="761"/>
    <s v="CORREGO DO OURO"/>
    <s v="2"/>
    <n v="8.85"/>
    <m/>
    <d v="2026-04-24T00:00:00"/>
    <m/>
    <d v="2026-08-22T00:00:00"/>
    <x v="124"/>
    <m/>
    <x v="6"/>
    <x v="3"/>
    <x v="2"/>
    <m/>
    <x v="2"/>
  </r>
  <r>
    <x v="1"/>
    <n v="784"/>
    <s v="SANTA NENA"/>
    <s v="1"/>
    <n v="21.71"/>
    <m/>
    <d v="2026-04-29T00:00:00"/>
    <m/>
    <d v="2026-08-27T00:00:00"/>
    <x v="124"/>
    <m/>
    <x v="6"/>
    <x v="3"/>
    <x v="2"/>
    <m/>
    <x v="0"/>
  </r>
  <r>
    <x v="1"/>
    <n v="784"/>
    <s v="SANTA NENA"/>
    <s v="10"/>
    <n v="36.28"/>
    <m/>
    <d v="2026-04-13T00:00:00"/>
    <m/>
    <d v="2026-08-11T00:00:00"/>
    <x v="124"/>
    <m/>
    <x v="6"/>
    <x v="3"/>
    <x v="2"/>
    <m/>
    <x v="0"/>
  </r>
  <r>
    <x v="1"/>
    <n v="784"/>
    <s v="SANTA NENA"/>
    <s v="11"/>
    <n v="26.12"/>
    <m/>
    <d v="2026-04-12T00:00:00"/>
    <m/>
    <d v="2026-08-10T00:00:00"/>
    <x v="124"/>
    <m/>
    <x v="6"/>
    <x v="3"/>
    <x v="2"/>
    <m/>
    <x v="0"/>
  </r>
  <r>
    <x v="1"/>
    <n v="784"/>
    <s v="SANTA NENA"/>
    <s v="12"/>
    <n v="14.49"/>
    <m/>
    <d v="2026-04-08T00:00:00"/>
    <m/>
    <d v="2026-08-06T00:00:00"/>
    <x v="124"/>
    <m/>
    <x v="6"/>
    <x v="3"/>
    <x v="2"/>
    <m/>
    <x v="0"/>
  </r>
  <r>
    <x v="1"/>
    <n v="784"/>
    <s v="SANTA NENA"/>
    <s v="13"/>
    <n v="21.94"/>
    <m/>
    <d v="2026-04-07T00:00:00"/>
    <m/>
    <d v="2026-08-05T00:00:00"/>
    <x v="124"/>
    <m/>
    <x v="6"/>
    <x v="3"/>
    <x v="2"/>
    <m/>
    <x v="0"/>
  </r>
  <r>
    <x v="1"/>
    <n v="784"/>
    <s v="SANTA NENA"/>
    <s v="14"/>
    <n v="34.07"/>
    <m/>
    <d v="2026-04-20T00:00:00"/>
    <m/>
    <d v="2026-08-18T00:00:00"/>
    <x v="124"/>
    <m/>
    <x v="6"/>
    <x v="3"/>
    <x v="2"/>
    <m/>
    <x v="0"/>
  </r>
  <r>
    <x v="1"/>
    <n v="784"/>
    <s v="SANTA NENA"/>
    <s v="15"/>
    <n v="41.56"/>
    <m/>
    <d v="2026-04-15T00:00:00"/>
    <m/>
    <d v="2026-08-13T00:00:00"/>
    <x v="124"/>
    <m/>
    <x v="6"/>
    <x v="3"/>
    <x v="2"/>
    <m/>
    <x v="0"/>
  </r>
  <r>
    <x v="1"/>
    <n v="784"/>
    <s v="SANTA NENA"/>
    <s v="16"/>
    <n v="9.99"/>
    <m/>
    <d v="2026-04-16T00:00:00"/>
    <m/>
    <d v="2026-08-14T00:00:00"/>
    <x v="124"/>
    <m/>
    <x v="6"/>
    <x v="3"/>
    <x v="2"/>
    <m/>
    <x v="0"/>
  </r>
  <r>
    <x v="1"/>
    <n v="784"/>
    <s v="SANTA NENA"/>
    <s v="17"/>
    <n v="19.71"/>
    <m/>
    <d v="2026-04-17T00:00:00"/>
    <m/>
    <d v="2026-08-15T00:00:00"/>
    <x v="124"/>
    <m/>
    <x v="6"/>
    <x v="3"/>
    <x v="2"/>
    <m/>
    <x v="0"/>
  </r>
  <r>
    <x v="1"/>
    <n v="784"/>
    <s v="SANTA NENA"/>
    <s v="18"/>
    <n v="28.93"/>
    <m/>
    <d v="2026-04-21T00:00:00"/>
    <m/>
    <d v="2026-08-19T00:00:00"/>
    <x v="124"/>
    <m/>
    <x v="6"/>
    <x v="3"/>
    <x v="2"/>
    <m/>
    <x v="0"/>
  </r>
  <r>
    <x v="1"/>
    <n v="784"/>
    <s v="SANTA NENA"/>
    <s v="19"/>
    <n v="52.9"/>
    <m/>
    <d v="2026-05-14T00:00:00"/>
    <m/>
    <d v="2026-09-11T00:00:00"/>
    <x v="124"/>
    <m/>
    <x v="6"/>
    <x v="3"/>
    <x v="2"/>
    <m/>
    <x v="0"/>
  </r>
  <r>
    <x v="1"/>
    <n v="784"/>
    <s v="SANTA NENA"/>
    <s v="2"/>
    <n v="32.880000000000003"/>
    <m/>
    <d v="2026-04-30T00:00:00"/>
    <m/>
    <d v="2026-08-28T00:00:00"/>
    <x v="124"/>
    <m/>
    <x v="6"/>
    <x v="3"/>
    <x v="2"/>
    <m/>
    <x v="0"/>
  </r>
  <r>
    <x v="1"/>
    <n v="784"/>
    <s v="SANTA NENA"/>
    <s v="20"/>
    <n v="49.1"/>
    <m/>
    <d v="2026-04-23T00:00:00"/>
    <m/>
    <d v="2026-08-21T00:00:00"/>
    <x v="124"/>
    <m/>
    <x v="6"/>
    <x v="3"/>
    <x v="2"/>
    <m/>
    <x v="0"/>
  </r>
  <r>
    <x v="1"/>
    <n v="784"/>
    <s v="SANTA NENA"/>
    <s v="21"/>
    <n v="38.299999999999997"/>
    <m/>
    <d v="2026-04-21T00:00:00"/>
    <m/>
    <d v="2026-08-19T00:00:00"/>
    <x v="124"/>
    <m/>
    <x v="6"/>
    <x v="3"/>
    <x v="2"/>
    <m/>
    <x v="0"/>
  </r>
  <r>
    <x v="1"/>
    <n v="784"/>
    <s v="SANTA NENA"/>
    <s v="22"/>
    <n v="34.799999999999997"/>
    <m/>
    <d v="2026-04-25T00:00:00"/>
    <m/>
    <d v="2026-08-23T00:00:00"/>
    <x v="124"/>
    <m/>
    <x v="6"/>
    <x v="3"/>
    <x v="2"/>
    <m/>
    <x v="0"/>
  </r>
  <r>
    <x v="1"/>
    <n v="784"/>
    <s v="SANTA NENA"/>
    <s v="23"/>
    <n v="27.84"/>
    <m/>
    <d v="2026-05-05T00:00:00"/>
    <m/>
    <d v="2026-09-02T00:00:00"/>
    <x v="124"/>
    <m/>
    <x v="6"/>
    <x v="3"/>
    <x v="2"/>
    <m/>
    <x v="0"/>
  </r>
  <r>
    <x v="1"/>
    <n v="784"/>
    <s v="SANTA NENA"/>
    <s v="24"/>
    <n v="16.02"/>
    <m/>
    <d v="2026-04-24T00:00:00"/>
    <m/>
    <d v="2026-08-22T00:00:00"/>
    <x v="124"/>
    <m/>
    <x v="6"/>
    <x v="3"/>
    <x v="2"/>
    <m/>
    <x v="0"/>
  </r>
  <r>
    <x v="1"/>
    <n v="784"/>
    <s v="SANTA NENA"/>
    <s v="25"/>
    <n v="32.93"/>
    <m/>
    <d v="2026-05-10T00:00:00"/>
    <m/>
    <d v="2026-09-07T00:00:00"/>
    <x v="124"/>
    <m/>
    <x v="6"/>
    <x v="3"/>
    <x v="2"/>
    <m/>
    <x v="0"/>
  </r>
  <r>
    <x v="1"/>
    <n v="784"/>
    <s v="SANTA NENA"/>
    <s v="26"/>
    <n v="31.49"/>
    <m/>
    <d v="2026-05-12T00:00:00"/>
    <m/>
    <d v="2026-09-09T00:00:00"/>
    <x v="124"/>
    <m/>
    <x v="6"/>
    <x v="3"/>
    <x v="2"/>
    <m/>
    <x v="0"/>
  </r>
  <r>
    <x v="1"/>
    <n v="784"/>
    <s v="SANTA NENA"/>
    <s v="27"/>
    <n v="21.31"/>
    <m/>
    <d v="2026-05-18T00:00:00"/>
    <m/>
    <d v="2026-09-15T00:00:00"/>
    <x v="124"/>
    <m/>
    <x v="6"/>
    <x v="3"/>
    <x v="2"/>
    <m/>
    <x v="0"/>
  </r>
  <r>
    <x v="1"/>
    <n v="784"/>
    <s v="SANTA NENA"/>
    <s v="28"/>
    <n v="31.29"/>
    <m/>
    <d v="2026-05-20T00:00:00"/>
    <m/>
    <d v="2026-09-17T00:00:00"/>
    <x v="124"/>
    <m/>
    <x v="6"/>
    <x v="3"/>
    <x v="2"/>
    <m/>
    <x v="0"/>
  </r>
  <r>
    <x v="1"/>
    <n v="784"/>
    <s v="SANTA NENA"/>
    <s v="29"/>
    <n v="45.57"/>
    <m/>
    <d v="2026-04-28T00:00:00"/>
    <m/>
    <d v="2026-08-26T00:00:00"/>
    <x v="124"/>
    <m/>
    <x v="6"/>
    <x v="3"/>
    <x v="2"/>
    <m/>
    <x v="0"/>
  </r>
  <r>
    <x v="1"/>
    <n v="784"/>
    <s v="SANTA NENA"/>
    <s v="3"/>
    <n v="22.11"/>
    <m/>
    <d v="2026-04-28T00:00:00"/>
    <m/>
    <d v="2026-08-26T00:00:00"/>
    <x v="124"/>
    <m/>
    <x v="6"/>
    <x v="3"/>
    <x v="2"/>
    <m/>
    <x v="0"/>
  </r>
  <r>
    <x v="1"/>
    <n v="784"/>
    <s v="SANTA NENA"/>
    <s v="30"/>
    <n v="21.41"/>
    <m/>
    <d v="2026-05-15T00:00:00"/>
    <m/>
    <d v="2026-09-12T00:00:00"/>
    <x v="124"/>
    <m/>
    <x v="6"/>
    <x v="3"/>
    <x v="2"/>
    <m/>
    <x v="0"/>
  </r>
  <r>
    <x v="1"/>
    <n v="784"/>
    <s v="SANTA NENA"/>
    <s v="31"/>
    <n v="38.299999999999997"/>
    <m/>
    <d v="2026-05-14T00:00:00"/>
    <m/>
    <d v="2026-09-11T00:00:00"/>
    <x v="124"/>
    <m/>
    <x v="6"/>
    <x v="3"/>
    <x v="2"/>
    <m/>
    <x v="0"/>
  </r>
  <r>
    <x v="1"/>
    <n v="784"/>
    <s v="SANTA NENA"/>
    <s v="32"/>
    <n v="39.93"/>
    <m/>
    <d v="2026-05-17T00:00:00"/>
    <m/>
    <d v="2026-09-14T00:00:00"/>
    <x v="124"/>
    <m/>
    <x v="6"/>
    <x v="3"/>
    <x v="2"/>
    <m/>
    <x v="0"/>
  </r>
  <r>
    <x v="1"/>
    <n v="784"/>
    <s v="SANTA NENA"/>
    <s v="33"/>
    <n v="25.39"/>
    <m/>
    <d v="2026-05-18T00:00:00"/>
    <m/>
    <d v="2026-09-15T00:00:00"/>
    <x v="124"/>
    <m/>
    <x v="6"/>
    <x v="3"/>
    <x v="2"/>
    <m/>
    <x v="0"/>
  </r>
  <r>
    <x v="1"/>
    <n v="784"/>
    <s v="SANTA NENA"/>
    <s v="34"/>
    <n v="18.18"/>
    <m/>
    <d v="2026-05-19T00:00:00"/>
    <m/>
    <d v="2026-09-16T00:00:00"/>
    <x v="124"/>
    <m/>
    <x v="6"/>
    <x v="3"/>
    <x v="2"/>
    <m/>
    <x v="0"/>
  </r>
  <r>
    <x v="1"/>
    <n v="784"/>
    <s v="SANTA NENA"/>
    <s v="35"/>
    <n v="29.01"/>
    <m/>
    <d v="2026-05-20T00:00:00"/>
    <m/>
    <d v="2026-09-17T00:00:00"/>
    <x v="124"/>
    <m/>
    <x v="6"/>
    <x v="3"/>
    <x v="2"/>
    <m/>
    <x v="0"/>
  </r>
  <r>
    <x v="1"/>
    <n v="784"/>
    <s v="SANTA NENA"/>
    <s v="36"/>
    <n v="26.03"/>
    <m/>
    <d v="2026-05-21T00:00:00"/>
    <m/>
    <d v="2026-09-18T00:00:00"/>
    <x v="124"/>
    <m/>
    <x v="6"/>
    <x v="3"/>
    <x v="2"/>
    <m/>
    <x v="0"/>
  </r>
  <r>
    <x v="1"/>
    <n v="784"/>
    <s v="SANTA NENA"/>
    <s v="37"/>
    <n v="13.02"/>
    <m/>
    <d v="2026-05-22T00:00:00"/>
    <m/>
    <d v="2026-09-19T00:00:00"/>
    <x v="124"/>
    <m/>
    <x v="6"/>
    <x v="3"/>
    <x v="2"/>
    <m/>
    <x v="0"/>
  </r>
  <r>
    <x v="1"/>
    <n v="784"/>
    <s v="SANTA NENA"/>
    <s v="38"/>
    <n v="2.44"/>
    <m/>
    <d v="2026-05-22T00:00:00"/>
    <m/>
    <d v="2026-09-19T00:00:00"/>
    <x v="124"/>
    <m/>
    <x v="6"/>
    <x v="3"/>
    <x v="2"/>
    <m/>
    <x v="0"/>
  </r>
  <r>
    <x v="1"/>
    <n v="784"/>
    <s v="SANTA NENA"/>
    <s v="4"/>
    <n v="49.7"/>
    <m/>
    <d v="2026-05-04T00:00:00"/>
    <m/>
    <d v="2026-09-01T00:00:00"/>
    <x v="124"/>
    <m/>
    <x v="6"/>
    <x v="3"/>
    <x v="2"/>
    <m/>
    <x v="0"/>
  </r>
  <r>
    <x v="1"/>
    <n v="784"/>
    <s v="SANTA NENA"/>
    <s v="5"/>
    <n v="37.159999999999997"/>
    <m/>
    <d v="2026-05-07T00:00:00"/>
    <m/>
    <d v="2026-09-04T00:00:00"/>
    <x v="124"/>
    <m/>
    <x v="6"/>
    <x v="3"/>
    <x v="2"/>
    <m/>
    <x v="0"/>
  </r>
  <r>
    <x v="1"/>
    <n v="784"/>
    <s v="SANTA NENA"/>
    <s v="6"/>
    <n v="38.159999999999997"/>
    <m/>
    <d v="2026-04-21T00:00:00"/>
    <m/>
    <d v="2026-08-19T00:00:00"/>
    <x v="124"/>
    <m/>
    <x v="6"/>
    <x v="3"/>
    <x v="2"/>
    <m/>
    <x v="0"/>
  </r>
  <r>
    <x v="1"/>
    <n v="784"/>
    <s v="SANTA NENA"/>
    <s v="7"/>
    <n v="23.3"/>
    <m/>
    <d v="2026-04-21T00:00:00"/>
    <m/>
    <d v="2026-08-19T00:00:00"/>
    <x v="124"/>
    <m/>
    <x v="6"/>
    <x v="3"/>
    <x v="2"/>
    <m/>
    <x v="0"/>
  </r>
  <r>
    <x v="1"/>
    <n v="784"/>
    <s v="SANTA NENA"/>
    <s v="8"/>
    <n v="23.73"/>
    <m/>
    <d v="2026-04-17T00:00:00"/>
    <m/>
    <d v="2026-08-15T00:00:00"/>
    <x v="124"/>
    <m/>
    <x v="6"/>
    <x v="3"/>
    <x v="2"/>
    <m/>
    <x v="0"/>
  </r>
  <r>
    <x v="1"/>
    <n v="784"/>
    <s v="SANTA NENA"/>
    <s v="9"/>
    <n v="36.64"/>
    <m/>
    <d v="2026-04-16T00:00:00"/>
    <m/>
    <d v="2026-08-14T00:00:00"/>
    <x v="124"/>
    <m/>
    <x v="6"/>
    <x v="3"/>
    <x v="2"/>
    <m/>
    <x v="0"/>
  </r>
  <r>
    <x v="1"/>
    <n v="88"/>
    <s v="SANTA TEREZINHA 1 - WILSON"/>
    <s v="1"/>
    <n v="37.340000000000003"/>
    <m/>
    <d v="2026-04-15T00:00:00"/>
    <m/>
    <d v="2026-08-13T00:00:00"/>
    <x v="124"/>
    <m/>
    <x v="6"/>
    <x v="3"/>
    <x v="2"/>
    <m/>
    <x v="0"/>
  </r>
  <r>
    <x v="1"/>
    <n v="88"/>
    <s v="SANTA TEREZINHA 1 - WILSON"/>
    <s v="10"/>
    <n v="23.1"/>
    <m/>
    <d v="2026-04-28T00:00:00"/>
    <m/>
    <d v="2026-08-26T00:00:00"/>
    <x v="124"/>
    <m/>
    <x v="6"/>
    <x v="3"/>
    <x v="2"/>
    <m/>
    <x v="0"/>
  </r>
  <r>
    <x v="1"/>
    <n v="88"/>
    <s v="SANTA TEREZINHA 1 - WILSON"/>
    <s v="11"/>
    <n v="22.78"/>
    <m/>
    <d v="2026-04-27T00:00:00"/>
    <m/>
    <d v="2026-08-25T00:00:00"/>
    <x v="124"/>
    <m/>
    <x v="6"/>
    <x v="3"/>
    <x v="2"/>
    <m/>
    <x v="0"/>
  </r>
  <r>
    <x v="1"/>
    <n v="88"/>
    <s v="SANTA TEREZINHA 1 - WILSON"/>
    <s v="12"/>
    <n v="10.78"/>
    <m/>
    <d v="2026-04-30T00:00:00"/>
    <m/>
    <d v="2026-08-28T00:00:00"/>
    <x v="124"/>
    <m/>
    <x v="6"/>
    <x v="3"/>
    <x v="2"/>
    <m/>
    <x v="0"/>
  </r>
  <r>
    <x v="1"/>
    <n v="88"/>
    <s v="SANTA TEREZINHA 1 - WILSON"/>
    <s v="13"/>
    <n v="22.57"/>
    <m/>
    <d v="2026-04-29T00:00:00"/>
    <m/>
    <d v="2026-08-27T00:00:00"/>
    <x v="124"/>
    <m/>
    <x v="6"/>
    <x v="3"/>
    <x v="2"/>
    <m/>
    <x v="0"/>
  </r>
  <r>
    <x v="1"/>
    <n v="88"/>
    <s v="SANTA TEREZINHA 1 - WILSON"/>
    <s v="14"/>
    <n v="22.01"/>
    <m/>
    <d v="2026-04-28T00:00:00"/>
    <m/>
    <d v="2026-08-26T00:00:00"/>
    <x v="124"/>
    <m/>
    <x v="6"/>
    <x v="3"/>
    <x v="2"/>
    <m/>
    <x v="0"/>
  </r>
  <r>
    <x v="1"/>
    <n v="88"/>
    <s v="SANTA TEREZINHA 1 - WILSON"/>
    <s v="15"/>
    <n v="16.39"/>
    <m/>
    <d v="2026-04-29T00:00:00"/>
    <m/>
    <d v="2026-08-27T00:00:00"/>
    <x v="124"/>
    <m/>
    <x v="6"/>
    <x v="3"/>
    <x v="2"/>
    <m/>
    <x v="0"/>
  </r>
  <r>
    <x v="1"/>
    <n v="88"/>
    <s v="SANTA TEREZINHA 1 - WILSON"/>
    <s v="16"/>
    <n v="5.65"/>
    <m/>
    <d v="2026-05-04T00:00:00"/>
    <m/>
    <d v="2026-09-01T00:00:00"/>
    <x v="124"/>
    <m/>
    <x v="6"/>
    <x v="3"/>
    <x v="2"/>
    <m/>
    <x v="0"/>
  </r>
  <r>
    <x v="1"/>
    <n v="88"/>
    <s v="SANTA TEREZINHA 1 - WILSON"/>
    <s v="17"/>
    <n v="18.670000000000002"/>
    <m/>
    <d v="2026-05-04T00:00:00"/>
    <m/>
    <d v="2026-09-01T00:00:00"/>
    <x v="124"/>
    <m/>
    <x v="6"/>
    <x v="3"/>
    <x v="2"/>
    <m/>
    <x v="0"/>
  </r>
  <r>
    <x v="1"/>
    <n v="88"/>
    <s v="SANTA TEREZINHA 1 - WILSON"/>
    <s v="18"/>
    <n v="16.52"/>
    <m/>
    <d v="2026-04-30T00:00:00"/>
    <m/>
    <d v="2026-08-28T00:00:00"/>
    <x v="124"/>
    <m/>
    <x v="6"/>
    <x v="3"/>
    <x v="2"/>
    <m/>
    <x v="0"/>
  </r>
  <r>
    <x v="1"/>
    <n v="88"/>
    <s v="SANTA TEREZINHA 1 - WILSON"/>
    <s v="19"/>
    <n v="17.28"/>
    <m/>
    <d v="2026-04-29T00:00:00"/>
    <m/>
    <d v="2026-08-27T00:00:00"/>
    <x v="124"/>
    <m/>
    <x v="6"/>
    <x v="3"/>
    <x v="2"/>
    <m/>
    <x v="0"/>
  </r>
  <r>
    <x v="1"/>
    <n v="88"/>
    <s v="SANTA TEREZINHA 1 - WILSON"/>
    <s v="2"/>
    <n v="46.71"/>
    <m/>
    <d v="2026-04-15T00:00:00"/>
    <m/>
    <d v="2026-08-13T00:00:00"/>
    <x v="124"/>
    <m/>
    <x v="6"/>
    <x v="3"/>
    <x v="2"/>
    <m/>
    <x v="0"/>
  </r>
  <r>
    <x v="1"/>
    <n v="88"/>
    <s v="SANTA TEREZINHA 1 - WILSON"/>
    <s v="21"/>
    <n v="41.29"/>
    <m/>
    <d v="2026-05-05T00:00:00"/>
    <m/>
    <d v="2026-09-02T00:00:00"/>
    <x v="124"/>
    <m/>
    <x v="6"/>
    <x v="3"/>
    <x v="2"/>
    <m/>
    <x v="0"/>
  </r>
  <r>
    <x v="1"/>
    <n v="88"/>
    <s v="SANTA TEREZINHA 1 - WILSON"/>
    <s v="25"/>
    <n v="13.09"/>
    <m/>
    <d v="2026-05-05T00:00:00"/>
    <m/>
    <d v="2026-09-02T00:00:00"/>
    <x v="124"/>
    <m/>
    <x v="6"/>
    <x v="3"/>
    <x v="2"/>
    <m/>
    <x v="0"/>
  </r>
  <r>
    <x v="1"/>
    <n v="88"/>
    <s v="SANTA TEREZINHA 1 - WILSON"/>
    <s v="26"/>
    <n v="33.049999999999997"/>
    <m/>
    <d v="2026-05-08T00:00:00"/>
    <m/>
    <d v="2026-09-05T00:00:00"/>
    <x v="124"/>
    <m/>
    <x v="6"/>
    <x v="3"/>
    <x v="2"/>
    <m/>
    <x v="0"/>
  </r>
  <r>
    <x v="1"/>
    <n v="88"/>
    <s v="SANTA TEREZINHA 1 - WILSON"/>
    <s v="27"/>
    <n v="32.71"/>
    <m/>
    <d v="2026-05-05T00:00:00"/>
    <m/>
    <d v="2026-09-02T00:00:00"/>
    <x v="124"/>
    <m/>
    <x v="6"/>
    <x v="3"/>
    <x v="2"/>
    <m/>
    <x v="0"/>
  </r>
  <r>
    <x v="1"/>
    <n v="88"/>
    <s v="SANTA TEREZINHA 1 - WILSON"/>
    <s v="3"/>
    <n v="49.14"/>
    <m/>
    <d v="2026-04-17T00:00:00"/>
    <m/>
    <d v="2026-08-15T00:00:00"/>
    <x v="124"/>
    <m/>
    <x v="6"/>
    <x v="3"/>
    <x v="2"/>
    <m/>
    <x v="0"/>
  </r>
  <r>
    <x v="1"/>
    <n v="88"/>
    <s v="SANTA TEREZINHA 1 - WILSON"/>
    <s v="5"/>
    <n v="8.81"/>
    <m/>
    <d v="2026-04-17T00:00:00"/>
    <m/>
    <d v="2026-08-15T00:00:00"/>
    <x v="124"/>
    <m/>
    <x v="6"/>
    <x v="3"/>
    <x v="2"/>
    <m/>
    <x v="0"/>
  </r>
  <r>
    <x v="1"/>
    <n v="88"/>
    <s v="SANTA TEREZINHA 1 - WILSON"/>
    <s v="6"/>
    <n v="37.299999999999997"/>
    <m/>
    <d v="2026-04-20T00:00:00"/>
    <m/>
    <d v="2026-08-18T00:00:00"/>
    <x v="124"/>
    <m/>
    <x v="6"/>
    <x v="3"/>
    <x v="2"/>
    <m/>
    <x v="0"/>
  </r>
  <r>
    <x v="1"/>
    <n v="88"/>
    <s v="SANTA TEREZINHA 1 - WILSON"/>
    <s v="7"/>
    <n v="41.06"/>
    <m/>
    <d v="2026-04-21T00:00:00"/>
    <m/>
    <d v="2026-08-19T00:00:00"/>
    <x v="124"/>
    <m/>
    <x v="6"/>
    <x v="3"/>
    <x v="2"/>
    <m/>
    <x v="0"/>
  </r>
  <r>
    <x v="1"/>
    <n v="88"/>
    <s v="SANTA TEREZINHA 1 - WILSON"/>
    <s v="8"/>
    <n v="39.9"/>
    <m/>
    <d v="2026-04-21T00:00:00"/>
    <m/>
    <d v="2026-08-19T00:00:00"/>
    <x v="124"/>
    <m/>
    <x v="6"/>
    <x v="3"/>
    <x v="2"/>
    <m/>
    <x v="0"/>
  </r>
  <r>
    <x v="1"/>
    <n v="88"/>
    <s v="SANTA TEREZINHA 1 - WILSON"/>
    <s v="9"/>
    <n v="7.97"/>
    <m/>
    <d v="2026-04-24T00:00:00"/>
    <m/>
    <d v="2026-08-22T00:00:00"/>
    <x v="124"/>
    <m/>
    <x v="6"/>
    <x v="3"/>
    <x v="2"/>
    <m/>
    <x v="0"/>
  </r>
  <r>
    <x v="1"/>
    <n v="88"/>
    <s v="SANTA TEREZINHA 1 - WILSON"/>
    <s v="25A"/>
    <n v="7.59"/>
    <m/>
    <d v="2026-05-04T00:00:00"/>
    <m/>
    <d v="2026-09-01T00:00:00"/>
    <x v="124"/>
    <m/>
    <x v="6"/>
    <x v="3"/>
    <x v="2"/>
    <m/>
    <x v="0"/>
  </r>
  <r>
    <x v="1"/>
    <n v="183"/>
    <s v="SÃO JOSÉ-AGNAR"/>
    <s v="1"/>
    <n v="40.950000000000003"/>
    <m/>
    <d v="2026-04-29T00:00:00"/>
    <m/>
    <d v="2026-08-27T00:00:00"/>
    <x v="124"/>
    <m/>
    <x v="6"/>
    <x v="3"/>
    <x v="2"/>
    <m/>
    <x v="1"/>
  </r>
  <r>
    <x v="1"/>
    <n v="183"/>
    <s v="SÃO JOSÉ-AGNAR"/>
    <s v="2"/>
    <n v="39.08"/>
    <m/>
    <d v="2026-05-04T00:00:00"/>
    <m/>
    <d v="2026-09-01T00:00:00"/>
    <x v="124"/>
    <m/>
    <x v="6"/>
    <x v="3"/>
    <x v="2"/>
    <m/>
    <x v="1"/>
  </r>
  <r>
    <x v="1"/>
    <n v="183"/>
    <s v="SÃO JOSÉ-AGNAR"/>
    <s v="3"/>
    <n v="31.61"/>
    <m/>
    <d v="2026-05-07T00:00:00"/>
    <m/>
    <d v="2026-09-04T00:00:00"/>
    <x v="124"/>
    <m/>
    <x v="6"/>
    <x v="3"/>
    <x v="2"/>
    <m/>
    <x v="1"/>
  </r>
  <r>
    <x v="1"/>
    <n v="183"/>
    <s v="SÃO JOSÉ-AGNAR"/>
    <s v="4"/>
    <n v="29.63"/>
    <m/>
    <d v="2026-05-21T00:00:00"/>
    <m/>
    <d v="2026-09-18T00:00:00"/>
    <x v="124"/>
    <m/>
    <x v="6"/>
    <x v="3"/>
    <x v="2"/>
    <m/>
    <x v="1"/>
  </r>
  <r>
    <x v="1"/>
    <n v="183"/>
    <s v="SÃO JOSÉ-AGNAR"/>
    <s v="4A"/>
    <n v="36.380000000000003"/>
    <m/>
    <d v="2026-05-26T00:00:00"/>
    <m/>
    <d v="2026-09-23T00:00:00"/>
    <x v="124"/>
    <m/>
    <x v="6"/>
    <x v="3"/>
    <x v="2"/>
    <m/>
    <x v="1"/>
  </r>
  <r>
    <x v="1"/>
    <n v="176"/>
    <s v="SANTA MARIA-CALÇAS"/>
    <s v="1"/>
    <n v="41.79"/>
    <m/>
    <d v="2026-05-27T00:00:00"/>
    <m/>
    <d v="2026-09-24T00:00:00"/>
    <x v="124"/>
    <m/>
    <x v="6"/>
    <x v="3"/>
    <x v="2"/>
    <m/>
    <x v="1"/>
  </r>
  <r>
    <x v="1"/>
    <n v="176"/>
    <s v="SANTA MARIA-CALÇAS"/>
    <s v="10"/>
    <n v="48.19"/>
    <m/>
    <d v="2026-05-30T00:00:00"/>
    <m/>
    <d v="2026-09-27T00:00:00"/>
    <x v="124"/>
    <m/>
    <x v="6"/>
    <x v="3"/>
    <x v="2"/>
    <m/>
    <x v="1"/>
  </r>
  <r>
    <x v="1"/>
    <n v="176"/>
    <s v="SANTA MARIA-CALÇAS"/>
    <s v="11A"/>
    <n v="32.75"/>
    <m/>
    <d v="2026-05-27T00:00:00"/>
    <m/>
    <d v="2026-09-24T00:00:00"/>
    <x v="124"/>
    <m/>
    <x v="6"/>
    <x v="3"/>
    <x v="2"/>
    <m/>
    <x v="1"/>
  </r>
  <r>
    <x v="1"/>
    <n v="176"/>
    <s v="SANTA MARIA-CALÇAS"/>
    <s v="14A"/>
    <n v="15.32"/>
    <m/>
    <d v="2026-05-21T00:00:00"/>
    <m/>
    <d v="2026-09-18T00:00:00"/>
    <x v="124"/>
    <m/>
    <x v="6"/>
    <x v="3"/>
    <x v="2"/>
    <m/>
    <x v="1"/>
  </r>
  <r>
    <x v="1"/>
    <n v="176"/>
    <s v="SANTA MARIA-CALÇAS"/>
    <s v="15A"/>
    <n v="35.97"/>
    <m/>
    <d v="2026-06-05T00:00:00"/>
    <m/>
    <d v="2026-10-03T00:00:00"/>
    <x v="124"/>
    <m/>
    <x v="6"/>
    <x v="3"/>
    <x v="2"/>
    <m/>
    <x v="1"/>
  </r>
  <r>
    <x v="1"/>
    <n v="176"/>
    <s v="SANTA MARIA-CALÇAS"/>
    <s v="2"/>
    <n v="38.31"/>
    <m/>
    <d v="2026-05-26T00:00:00"/>
    <m/>
    <d v="2026-09-23T00:00:00"/>
    <x v="124"/>
    <m/>
    <x v="6"/>
    <x v="3"/>
    <x v="2"/>
    <m/>
    <x v="1"/>
  </r>
  <r>
    <x v="1"/>
    <n v="176"/>
    <s v="SANTA MARIA-CALÇAS"/>
    <s v="21"/>
    <n v="24.08"/>
    <m/>
    <d v="2026-05-19T00:00:00"/>
    <m/>
    <d v="2026-09-16T00:00:00"/>
    <x v="124"/>
    <m/>
    <x v="6"/>
    <x v="3"/>
    <x v="2"/>
    <m/>
    <x v="1"/>
  </r>
  <r>
    <x v="1"/>
    <n v="176"/>
    <s v="SANTA MARIA-CALÇAS"/>
    <s v="3"/>
    <n v="40.200000000000003"/>
    <m/>
    <d v="2026-06-05T00:00:00"/>
    <m/>
    <d v="2026-10-03T00:00:00"/>
    <x v="124"/>
    <m/>
    <x v="6"/>
    <x v="3"/>
    <x v="2"/>
    <m/>
    <x v="1"/>
  </r>
  <r>
    <x v="1"/>
    <n v="176"/>
    <s v="SANTA MARIA-CALÇAS"/>
    <s v="33"/>
    <n v="39.32"/>
    <m/>
    <d v="2026-05-04T00:00:00"/>
    <m/>
    <d v="2026-09-01T00:00:00"/>
    <x v="124"/>
    <m/>
    <x v="6"/>
    <x v="3"/>
    <x v="2"/>
    <m/>
    <x v="1"/>
  </r>
  <r>
    <x v="1"/>
    <n v="176"/>
    <s v="SANTA MARIA-CALÇAS"/>
    <s v="34"/>
    <n v="27.4"/>
    <m/>
    <d v="2026-05-21T00:00:00"/>
    <m/>
    <d v="2026-09-18T00:00:00"/>
    <x v="124"/>
    <m/>
    <x v="6"/>
    <x v="3"/>
    <x v="2"/>
    <m/>
    <x v="1"/>
  </r>
  <r>
    <x v="1"/>
    <n v="176"/>
    <s v="SANTA MARIA-CALÇAS"/>
    <s v="35"/>
    <n v="24.85"/>
    <m/>
    <d v="2026-05-19T00:00:00"/>
    <m/>
    <d v="2026-09-16T00:00:00"/>
    <x v="124"/>
    <m/>
    <x v="6"/>
    <x v="3"/>
    <x v="2"/>
    <m/>
    <x v="1"/>
  </r>
  <r>
    <x v="1"/>
    <n v="176"/>
    <s v="SANTA MARIA-CALÇAS"/>
    <s v="36"/>
    <n v="28.94"/>
    <m/>
    <d v="2026-05-19T00:00:00"/>
    <m/>
    <d v="2026-09-16T00:00:00"/>
    <x v="124"/>
    <m/>
    <x v="6"/>
    <x v="3"/>
    <x v="2"/>
    <m/>
    <x v="1"/>
  </r>
  <r>
    <x v="1"/>
    <n v="176"/>
    <s v="SANTA MARIA-CALÇAS"/>
    <s v="37"/>
    <n v="23.52"/>
    <m/>
    <d v="2026-05-19T00:00:00"/>
    <m/>
    <d v="2026-09-16T00:00:00"/>
    <x v="124"/>
    <m/>
    <x v="6"/>
    <x v="3"/>
    <x v="2"/>
    <m/>
    <x v="1"/>
  </r>
  <r>
    <x v="1"/>
    <n v="176"/>
    <s v="SANTA MARIA-CALÇAS"/>
    <s v="38"/>
    <n v="12.83"/>
    <m/>
    <d v="2026-05-18T00:00:00"/>
    <m/>
    <d v="2026-09-15T00:00:00"/>
    <x v="124"/>
    <m/>
    <x v="6"/>
    <x v="3"/>
    <x v="2"/>
    <m/>
    <x v="1"/>
  </r>
  <r>
    <x v="1"/>
    <n v="176"/>
    <s v="SANTA MARIA-CALÇAS"/>
    <s v="4"/>
    <n v="57.42"/>
    <m/>
    <d v="2026-06-02T00:00:00"/>
    <m/>
    <d v="2026-09-30T00:00:00"/>
    <x v="124"/>
    <m/>
    <x v="6"/>
    <x v="3"/>
    <x v="2"/>
    <m/>
    <x v="1"/>
  </r>
  <r>
    <x v="1"/>
    <n v="176"/>
    <s v="SANTA MARIA-CALÇAS"/>
    <s v="7A"/>
    <n v="30.34"/>
    <m/>
    <d v="2026-05-21T00:00:00"/>
    <m/>
    <d v="2026-09-18T00:00:00"/>
    <x v="124"/>
    <m/>
    <x v="6"/>
    <x v="3"/>
    <x v="2"/>
    <m/>
    <x v="1"/>
  </r>
  <r>
    <x v="1"/>
    <n v="176"/>
    <s v="SANTA MARIA-CALÇAS"/>
    <s v="8"/>
    <n v="33.299999999999997"/>
    <m/>
    <d v="2026-05-26T00:00:00"/>
    <m/>
    <d v="2026-09-23T00:00:00"/>
    <x v="124"/>
    <m/>
    <x v="6"/>
    <x v="3"/>
    <x v="2"/>
    <m/>
    <x v="1"/>
  </r>
  <r>
    <x v="1"/>
    <n v="176"/>
    <s v="SANTA MARIA-CALÇAS"/>
    <s v="32A"/>
    <n v="52.04"/>
    <m/>
    <d v="2026-05-18T00:00:00"/>
    <m/>
    <d v="2026-09-15T00:00:00"/>
    <x v="124"/>
    <m/>
    <x v="6"/>
    <x v="3"/>
    <x v="2"/>
    <m/>
    <x v="1"/>
  </r>
  <r>
    <x v="1"/>
    <n v="176"/>
    <s v="SANTA MARIA-CALÇAS"/>
    <s v="9A"/>
    <n v="23.75"/>
    <m/>
    <d v="2026-06-02T00:00:00"/>
    <m/>
    <d v="2026-09-30T00:00:00"/>
    <x v="124"/>
    <m/>
    <x v="6"/>
    <x v="3"/>
    <x v="2"/>
    <m/>
    <x v="1"/>
  </r>
  <r>
    <x v="1"/>
    <n v="301"/>
    <s v="SANTO IVO"/>
    <s v="1"/>
    <n v="22"/>
    <m/>
    <d v="2026-06-04T00:00:00"/>
    <m/>
    <d v="2026-10-02T00:00:00"/>
    <x v="124"/>
    <m/>
    <x v="6"/>
    <x v="3"/>
    <x v="2"/>
    <m/>
    <x v="2"/>
  </r>
  <r>
    <x v="1"/>
    <n v="301"/>
    <s v="SANTO IVO"/>
    <s v="10"/>
    <n v="33.54"/>
    <m/>
    <d v="2026-06-03T00:00:00"/>
    <m/>
    <d v="2026-10-01T00:00:00"/>
    <x v="124"/>
    <m/>
    <x v="6"/>
    <x v="3"/>
    <x v="2"/>
    <m/>
    <x v="2"/>
  </r>
  <r>
    <x v="1"/>
    <n v="301"/>
    <s v="SANTO IVO"/>
    <s v="11"/>
    <n v="11.54"/>
    <m/>
    <d v="2026-06-02T00:00:00"/>
    <m/>
    <d v="2026-09-30T00:00:00"/>
    <x v="124"/>
    <m/>
    <x v="6"/>
    <x v="3"/>
    <x v="2"/>
    <m/>
    <x v="2"/>
  </r>
  <r>
    <x v="1"/>
    <n v="301"/>
    <s v="SANTO IVO"/>
    <s v="12"/>
    <n v="4.38"/>
    <m/>
    <d v="2026-05-19T00:00:00"/>
    <m/>
    <d v="2026-09-16T00:00:00"/>
    <x v="124"/>
    <m/>
    <x v="6"/>
    <x v="3"/>
    <x v="2"/>
    <m/>
    <x v="2"/>
  </r>
  <r>
    <x v="1"/>
    <n v="301"/>
    <s v="SANTO IVO"/>
    <s v="13"/>
    <n v="34.92"/>
    <m/>
    <d v="2026-05-20T00:00:00"/>
    <m/>
    <d v="2026-09-17T00:00:00"/>
    <x v="124"/>
    <m/>
    <x v="6"/>
    <x v="3"/>
    <x v="2"/>
    <m/>
    <x v="2"/>
  </r>
  <r>
    <x v="1"/>
    <n v="301"/>
    <s v="SANTO IVO"/>
    <s v="14"/>
    <n v="57.48"/>
    <m/>
    <d v="2026-05-19T00:00:00"/>
    <m/>
    <d v="2026-09-16T00:00:00"/>
    <x v="124"/>
    <m/>
    <x v="6"/>
    <x v="3"/>
    <x v="2"/>
    <m/>
    <x v="2"/>
  </r>
  <r>
    <x v="1"/>
    <n v="301"/>
    <s v="SANTO IVO"/>
    <s v="15"/>
    <n v="21.27"/>
    <m/>
    <d v="2026-05-21T00:00:00"/>
    <m/>
    <d v="2026-09-18T00:00:00"/>
    <x v="124"/>
    <m/>
    <x v="6"/>
    <x v="3"/>
    <x v="2"/>
    <m/>
    <x v="2"/>
  </r>
  <r>
    <x v="1"/>
    <n v="301"/>
    <s v="SANTO IVO"/>
    <s v="15A"/>
    <n v="11.01"/>
    <m/>
    <d v="2026-05-14T00:00:00"/>
    <m/>
    <d v="2026-09-11T00:00:00"/>
    <x v="124"/>
    <m/>
    <x v="6"/>
    <x v="3"/>
    <x v="2"/>
    <m/>
    <x v="2"/>
  </r>
  <r>
    <x v="1"/>
    <n v="301"/>
    <s v="SANTO IVO"/>
    <s v="16"/>
    <n v="13.69"/>
    <m/>
    <d v="2026-05-25T00:00:00"/>
    <m/>
    <d v="2026-09-22T00:00:00"/>
    <x v="124"/>
    <m/>
    <x v="6"/>
    <x v="3"/>
    <x v="2"/>
    <m/>
    <x v="2"/>
  </r>
  <r>
    <x v="1"/>
    <n v="301"/>
    <s v="SANTO IVO"/>
    <s v="17"/>
    <n v="14.33"/>
    <m/>
    <d v="2026-05-15T00:00:00"/>
    <m/>
    <d v="2026-09-12T00:00:00"/>
    <x v="124"/>
    <m/>
    <x v="6"/>
    <x v="3"/>
    <x v="2"/>
    <m/>
    <x v="2"/>
  </r>
  <r>
    <x v="1"/>
    <n v="301"/>
    <s v="SANTO IVO"/>
    <s v="18"/>
    <n v="28.46"/>
    <m/>
    <d v="2026-05-20T00:00:00"/>
    <m/>
    <d v="2026-09-17T00:00:00"/>
    <x v="124"/>
    <m/>
    <x v="6"/>
    <x v="3"/>
    <x v="2"/>
    <m/>
    <x v="2"/>
  </r>
  <r>
    <x v="1"/>
    <n v="301"/>
    <s v="SANTO IVO"/>
    <s v="19"/>
    <n v="23.07"/>
    <m/>
    <d v="2026-05-15T00:00:00"/>
    <m/>
    <d v="2026-09-12T00:00:00"/>
    <x v="124"/>
    <m/>
    <x v="6"/>
    <x v="3"/>
    <x v="2"/>
    <m/>
    <x v="2"/>
  </r>
  <r>
    <x v="1"/>
    <n v="301"/>
    <s v="SANTO IVO"/>
    <s v="2"/>
    <n v="29.71"/>
    <m/>
    <d v="2026-06-04T00:00:00"/>
    <m/>
    <d v="2026-10-02T00:00:00"/>
    <x v="124"/>
    <m/>
    <x v="6"/>
    <x v="3"/>
    <x v="2"/>
    <m/>
    <x v="2"/>
  </r>
  <r>
    <x v="1"/>
    <n v="301"/>
    <s v="SANTO IVO"/>
    <s v="20"/>
    <n v="15.7"/>
    <m/>
    <d v="2026-05-12T00:00:00"/>
    <m/>
    <d v="2026-09-09T00:00:00"/>
    <x v="124"/>
    <m/>
    <x v="6"/>
    <x v="3"/>
    <x v="2"/>
    <m/>
    <x v="2"/>
  </r>
  <r>
    <x v="1"/>
    <n v="301"/>
    <s v="SANTO IVO"/>
    <s v="21"/>
    <n v="15.34"/>
    <m/>
    <d v="2026-05-07T00:00:00"/>
    <m/>
    <d v="2026-09-04T00:00:00"/>
    <x v="124"/>
    <m/>
    <x v="6"/>
    <x v="3"/>
    <x v="2"/>
    <m/>
    <x v="2"/>
  </r>
  <r>
    <x v="1"/>
    <n v="301"/>
    <s v="SANTO IVO"/>
    <s v="22"/>
    <n v="6.14"/>
    <m/>
    <d v="2026-05-05T00:00:00"/>
    <m/>
    <d v="2026-09-02T00:00:00"/>
    <x v="124"/>
    <m/>
    <x v="6"/>
    <x v="3"/>
    <x v="2"/>
    <m/>
    <x v="2"/>
  </r>
  <r>
    <x v="1"/>
    <n v="301"/>
    <s v="SANTO IVO"/>
    <s v="23"/>
    <n v="9.18"/>
    <m/>
    <d v="2026-05-05T00:00:00"/>
    <m/>
    <d v="2026-09-02T00:00:00"/>
    <x v="124"/>
    <m/>
    <x v="6"/>
    <x v="3"/>
    <x v="2"/>
    <m/>
    <x v="2"/>
  </r>
  <r>
    <x v="1"/>
    <n v="301"/>
    <s v="SANTO IVO"/>
    <s v="24"/>
    <n v="29.54"/>
    <m/>
    <d v="2026-05-11T00:00:00"/>
    <m/>
    <d v="2026-09-08T00:00:00"/>
    <x v="124"/>
    <m/>
    <x v="6"/>
    <x v="3"/>
    <x v="2"/>
    <m/>
    <x v="2"/>
  </r>
  <r>
    <x v="1"/>
    <n v="301"/>
    <s v="SANTO IVO"/>
    <s v="25"/>
    <n v="33.51"/>
    <m/>
    <d v="2026-05-11T00:00:00"/>
    <m/>
    <d v="2026-09-08T00:00:00"/>
    <x v="124"/>
    <m/>
    <x v="6"/>
    <x v="3"/>
    <x v="2"/>
    <m/>
    <x v="2"/>
  </r>
  <r>
    <x v="1"/>
    <n v="301"/>
    <s v="SANTO IVO"/>
    <s v="26"/>
    <n v="6.31"/>
    <m/>
    <d v="2026-05-06T00:00:00"/>
    <m/>
    <d v="2026-09-03T00:00:00"/>
    <x v="124"/>
    <m/>
    <x v="6"/>
    <x v="3"/>
    <x v="2"/>
    <m/>
    <x v="2"/>
  </r>
  <r>
    <x v="1"/>
    <n v="301"/>
    <s v="SANTO IVO"/>
    <s v="27"/>
    <n v="5.21"/>
    <m/>
    <d v="2026-05-08T00:00:00"/>
    <m/>
    <d v="2026-09-05T00:00:00"/>
    <x v="124"/>
    <m/>
    <x v="6"/>
    <x v="3"/>
    <x v="2"/>
    <m/>
    <x v="2"/>
  </r>
  <r>
    <x v="1"/>
    <n v="301"/>
    <s v="SANTO IVO"/>
    <s v="28"/>
    <n v="29.38"/>
    <m/>
    <d v="2026-05-06T00:00:00"/>
    <m/>
    <d v="2026-09-03T00:00:00"/>
    <x v="124"/>
    <m/>
    <x v="6"/>
    <x v="3"/>
    <x v="2"/>
    <m/>
    <x v="2"/>
  </r>
  <r>
    <x v="1"/>
    <n v="301"/>
    <s v="SANTO IVO"/>
    <s v="29"/>
    <n v="23.05"/>
    <m/>
    <d v="2026-05-06T00:00:00"/>
    <m/>
    <d v="2026-09-03T00:00:00"/>
    <x v="124"/>
    <m/>
    <x v="6"/>
    <x v="3"/>
    <x v="2"/>
    <m/>
    <x v="2"/>
  </r>
  <r>
    <x v="1"/>
    <n v="301"/>
    <s v="SANTO IVO"/>
    <s v="3"/>
    <n v="48.43"/>
    <m/>
    <d v="2026-06-10T00:00:00"/>
    <m/>
    <d v="2026-10-08T00:00:00"/>
    <x v="124"/>
    <m/>
    <x v="6"/>
    <x v="3"/>
    <x v="2"/>
    <m/>
    <x v="2"/>
  </r>
  <r>
    <x v="1"/>
    <n v="301"/>
    <s v="SANTO IVO"/>
    <s v="30"/>
    <n v="8.86"/>
    <m/>
    <d v="2026-05-07T00:00:00"/>
    <m/>
    <d v="2026-09-04T00:00:00"/>
    <x v="124"/>
    <m/>
    <x v="6"/>
    <x v="3"/>
    <x v="2"/>
    <m/>
    <x v="2"/>
  </r>
  <r>
    <x v="1"/>
    <n v="301"/>
    <s v="SANTO IVO"/>
    <s v="31"/>
    <n v="10.039999999999999"/>
    <m/>
    <d v="2026-05-04T00:00:00"/>
    <m/>
    <d v="2026-09-01T00:00:00"/>
    <x v="124"/>
    <m/>
    <x v="6"/>
    <x v="3"/>
    <x v="2"/>
    <m/>
    <x v="2"/>
  </r>
  <r>
    <x v="1"/>
    <n v="301"/>
    <s v="SANTO IVO"/>
    <s v="32"/>
    <n v="8.26"/>
    <m/>
    <d v="2026-05-06T00:00:00"/>
    <m/>
    <d v="2026-09-03T00:00:00"/>
    <x v="124"/>
    <m/>
    <x v="6"/>
    <x v="3"/>
    <x v="2"/>
    <m/>
    <x v="2"/>
  </r>
  <r>
    <x v="1"/>
    <n v="301"/>
    <s v="SANTO IVO"/>
    <s v="33"/>
    <n v="11.99"/>
    <m/>
    <d v="2026-05-04T00:00:00"/>
    <m/>
    <d v="2026-09-01T00:00:00"/>
    <x v="124"/>
    <m/>
    <x v="6"/>
    <x v="3"/>
    <x v="2"/>
    <m/>
    <x v="2"/>
  </r>
  <r>
    <x v="1"/>
    <n v="301"/>
    <s v="SANTO IVO"/>
    <s v="4"/>
    <n v="49.41"/>
    <m/>
    <d v="2026-06-05T00:00:00"/>
    <m/>
    <d v="2026-10-03T00:00:00"/>
    <x v="124"/>
    <m/>
    <x v="6"/>
    <x v="3"/>
    <x v="2"/>
    <m/>
    <x v="2"/>
  </r>
  <r>
    <x v="1"/>
    <n v="301"/>
    <s v="SANTO IVO"/>
    <s v="5"/>
    <n v="5.84"/>
    <m/>
    <d v="2026-05-27T00:00:00"/>
    <m/>
    <d v="2026-09-24T00:00:00"/>
    <x v="124"/>
    <m/>
    <x v="6"/>
    <x v="3"/>
    <x v="2"/>
    <m/>
    <x v="2"/>
  </r>
  <r>
    <x v="1"/>
    <n v="301"/>
    <s v="SANTO IVO"/>
    <s v="6"/>
    <n v="45.41"/>
    <m/>
    <d v="2026-05-25T00:00:00"/>
    <m/>
    <d v="2026-09-22T00:00:00"/>
    <x v="124"/>
    <m/>
    <x v="6"/>
    <x v="3"/>
    <x v="2"/>
    <m/>
    <x v="2"/>
  </r>
  <r>
    <x v="1"/>
    <n v="301"/>
    <s v="SANTO IVO"/>
    <s v="6A"/>
    <n v="3.54"/>
    <m/>
    <d v="2026-05-21T00:00:00"/>
    <m/>
    <d v="2026-09-18T00:00:00"/>
    <x v="124"/>
    <m/>
    <x v="6"/>
    <x v="3"/>
    <x v="2"/>
    <m/>
    <x v="2"/>
  </r>
  <r>
    <x v="1"/>
    <n v="301"/>
    <s v="SANTO IVO"/>
    <s v="7"/>
    <n v="32.08"/>
    <m/>
    <d v="2026-05-27T00:00:00"/>
    <m/>
    <d v="2026-09-24T00:00:00"/>
    <x v="124"/>
    <m/>
    <x v="6"/>
    <x v="3"/>
    <x v="2"/>
    <m/>
    <x v="2"/>
  </r>
  <r>
    <x v="1"/>
    <n v="301"/>
    <s v="SANTO IVO"/>
    <s v="8"/>
    <n v="5.04"/>
    <m/>
    <d v="2026-05-27T00:00:00"/>
    <m/>
    <d v="2026-09-24T00:00:00"/>
    <x v="124"/>
    <m/>
    <x v="6"/>
    <x v="3"/>
    <x v="2"/>
    <m/>
    <x v="2"/>
  </r>
  <r>
    <x v="1"/>
    <n v="301"/>
    <s v="SANTO IVO"/>
    <s v="9"/>
    <n v="11.42"/>
    <m/>
    <d v="2026-05-29T00:00:00"/>
    <m/>
    <d v="2026-09-26T00:00:00"/>
    <x v="124"/>
    <m/>
    <x v="6"/>
    <x v="3"/>
    <x v="2"/>
    <m/>
    <x v="2"/>
  </r>
  <r>
    <x v="1"/>
    <n v="301"/>
    <s v="SANTO IVO"/>
    <s v="15B"/>
    <n v="4.58"/>
    <m/>
    <d v="2026-05-14T00:00:00"/>
    <m/>
    <d v="2026-09-11T00:00:00"/>
    <x v="124"/>
    <m/>
    <x v="6"/>
    <x v="3"/>
    <x v="2"/>
    <m/>
    <x v="2"/>
  </r>
  <r>
    <x v="1"/>
    <n v="301"/>
    <s v="SANTO IVO"/>
    <s v="13A"/>
    <n v="21.5"/>
    <m/>
    <d v="2026-05-20T00:00:00"/>
    <m/>
    <d v="2026-09-17T00:00:00"/>
    <x v="124"/>
    <m/>
    <x v="6"/>
    <x v="3"/>
    <x v="2"/>
    <m/>
    <x v="2"/>
  </r>
  <r>
    <x v="1"/>
    <n v="301"/>
    <s v="SANTO IVO"/>
    <s v="10A"/>
    <n v="33"/>
    <m/>
    <d v="2026-05-29T00:00:00"/>
    <m/>
    <d v="2026-09-26T00:00:00"/>
    <x v="124"/>
    <m/>
    <x v="6"/>
    <x v="3"/>
    <x v="2"/>
    <m/>
    <x v="2"/>
  </r>
  <r>
    <x v="1"/>
    <n v="358"/>
    <s v="SÃO PEDRO – GABRIEL GARCIA"/>
    <s v="1"/>
    <n v="42.58"/>
    <m/>
    <d v="2026-06-10T00:00:00"/>
    <m/>
    <d v="2026-10-08T00:00:00"/>
    <x v="124"/>
    <m/>
    <x v="6"/>
    <x v="3"/>
    <x v="2"/>
    <m/>
    <x v="1"/>
  </r>
  <r>
    <x v="1"/>
    <n v="358"/>
    <s v="SÃO PEDRO – GABRIEL GARCIA"/>
    <s v="12"/>
    <n v="23.61"/>
    <m/>
    <d v="2026-06-10T00:00:00"/>
    <m/>
    <d v="2026-10-08T00:00:00"/>
    <x v="124"/>
    <m/>
    <x v="6"/>
    <x v="3"/>
    <x v="2"/>
    <m/>
    <x v="1"/>
  </r>
  <r>
    <x v="1"/>
    <n v="358"/>
    <s v="SÃO PEDRO – GABRIEL GARCIA"/>
    <s v="13"/>
    <n v="15.45"/>
    <m/>
    <d v="2026-06-10T00:00:00"/>
    <m/>
    <d v="2026-10-08T00:00:00"/>
    <x v="124"/>
    <m/>
    <x v="6"/>
    <x v="3"/>
    <x v="2"/>
    <m/>
    <x v="1"/>
  </r>
  <r>
    <x v="1"/>
    <n v="358"/>
    <s v="SÃO PEDRO – GABRIEL GARCIA"/>
    <s v="14"/>
    <n v="15.3"/>
    <m/>
    <d v="2026-06-09T00:00:00"/>
    <m/>
    <d v="2026-10-07T00:00:00"/>
    <x v="124"/>
    <m/>
    <x v="6"/>
    <x v="3"/>
    <x v="2"/>
    <m/>
    <x v="1"/>
  </r>
  <r>
    <x v="1"/>
    <n v="358"/>
    <s v="SÃO PEDRO – GABRIEL GARCIA"/>
    <s v="15"/>
    <n v="23.33"/>
    <m/>
    <d v="2026-06-08T00:00:00"/>
    <m/>
    <d v="2026-10-06T00:00:00"/>
    <x v="124"/>
    <m/>
    <x v="6"/>
    <x v="3"/>
    <x v="2"/>
    <m/>
    <x v="1"/>
  </r>
  <r>
    <x v="1"/>
    <n v="358"/>
    <s v="SÃO PEDRO – GABRIEL GARCIA"/>
    <s v="16"/>
    <n v="43.51"/>
    <m/>
    <d v="2026-06-05T00:00:00"/>
    <m/>
    <d v="2026-10-03T00:00:00"/>
    <x v="124"/>
    <m/>
    <x v="6"/>
    <x v="3"/>
    <x v="2"/>
    <m/>
    <x v="1"/>
  </r>
  <r>
    <x v="1"/>
    <n v="358"/>
    <s v="SÃO PEDRO – GABRIEL GARCIA"/>
    <s v="17"/>
    <n v="32.33"/>
    <m/>
    <d v="2026-06-02T00:00:00"/>
    <m/>
    <d v="2026-09-30T00:00:00"/>
    <x v="124"/>
    <m/>
    <x v="6"/>
    <x v="3"/>
    <x v="2"/>
    <m/>
    <x v="1"/>
  </r>
  <r>
    <x v="1"/>
    <n v="358"/>
    <s v="SÃO PEDRO – GABRIEL GARCIA"/>
    <s v="18"/>
    <n v="35.81"/>
    <m/>
    <d v="2026-05-26T00:00:00"/>
    <m/>
    <d v="2026-09-23T00:00:00"/>
    <x v="124"/>
    <m/>
    <x v="6"/>
    <x v="3"/>
    <x v="2"/>
    <m/>
    <x v="1"/>
  </r>
  <r>
    <x v="1"/>
    <n v="358"/>
    <s v="SÃO PEDRO – GABRIEL GARCIA"/>
    <s v="19"/>
    <n v="35.96"/>
    <m/>
    <d v="2026-05-21T00:00:00"/>
    <m/>
    <d v="2026-09-18T00:00:00"/>
    <x v="124"/>
    <m/>
    <x v="6"/>
    <x v="3"/>
    <x v="2"/>
    <m/>
    <x v="1"/>
  </r>
  <r>
    <x v="1"/>
    <n v="358"/>
    <s v="SÃO PEDRO – GABRIEL GARCIA"/>
    <s v="2"/>
    <n v="16.34"/>
    <m/>
    <d v="2026-06-12T00:00:00"/>
    <m/>
    <d v="2026-10-10T00:00:00"/>
    <x v="124"/>
    <m/>
    <x v="6"/>
    <x v="3"/>
    <x v="2"/>
    <m/>
    <x v="1"/>
  </r>
  <r>
    <x v="1"/>
    <n v="358"/>
    <s v="SÃO PEDRO – GABRIEL GARCIA"/>
    <s v="20"/>
    <n v="34.21"/>
    <m/>
    <d v="2026-05-19T00:00:00"/>
    <m/>
    <d v="2026-09-16T00:00:00"/>
    <x v="124"/>
    <m/>
    <x v="6"/>
    <x v="3"/>
    <x v="2"/>
    <m/>
    <x v="1"/>
  </r>
  <r>
    <x v="1"/>
    <n v="358"/>
    <s v="SÃO PEDRO – GABRIEL GARCIA"/>
    <s v="21"/>
    <n v="14.11"/>
    <m/>
    <d v="2026-05-20T00:00:00"/>
    <m/>
    <d v="2026-09-17T00:00:00"/>
    <x v="124"/>
    <m/>
    <x v="6"/>
    <x v="3"/>
    <x v="2"/>
    <m/>
    <x v="1"/>
  </r>
  <r>
    <x v="1"/>
    <n v="358"/>
    <s v="SÃO PEDRO – GABRIEL GARCIA"/>
    <s v="22"/>
    <n v="20.85"/>
    <m/>
    <d v="2026-05-21T00:00:00"/>
    <m/>
    <d v="2026-09-18T00:00:00"/>
    <x v="124"/>
    <m/>
    <x v="6"/>
    <x v="3"/>
    <x v="2"/>
    <m/>
    <x v="1"/>
  </r>
  <r>
    <x v="1"/>
    <n v="358"/>
    <s v="SÃO PEDRO – GABRIEL GARCIA"/>
    <s v="23"/>
    <n v="10.97"/>
    <m/>
    <d v="2026-05-20T00:00:00"/>
    <m/>
    <d v="2026-09-17T00:00:00"/>
    <x v="124"/>
    <m/>
    <x v="6"/>
    <x v="3"/>
    <x v="2"/>
    <m/>
    <x v="1"/>
  </r>
  <r>
    <x v="1"/>
    <n v="358"/>
    <s v="SÃO PEDRO – GABRIEL GARCIA"/>
    <s v="3"/>
    <n v="10"/>
    <m/>
    <d v="2026-06-12T00:00:00"/>
    <m/>
    <d v="2026-10-10T00:00:00"/>
    <x v="124"/>
    <m/>
    <x v="6"/>
    <x v="3"/>
    <x v="2"/>
    <m/>
    <x v="1"/>
  </r>
  <r>
    <x v="1"/>
    <n v="358"/>
    <s v="SÃO PEDRO – GABRIEL GARCIA"/>
    <s v="4"/>
    <n v="4.12"/>
    <m/>
    <d v="2026-06-15T00:00:00"/>
    <m/>
    <d v="2026-10-13T00:00:00"/>
    <x v="124"/>
    <m/>
    <x v="6"/>
    <x v="3"/>
    <x v="2"/>
    <m/>
    <x v="1"/>
  </r>
  <r>
    <x v="1"/>
    <n v="358"/>
    <s v="SÃO PEDRO – GABRIEL GARCIA"/>
    <s v="5"/>
    <n v="34.6"/>
    <m/>
    <d v="2026-06-11T00:00:00"/>
    <m/>
    <d v="2026-10-09T00:00:00"/>
    <x v="124"/>
    <m/>
    <x v="6"/>
    <x v="3"/>
    <x v="2"/>
    <m/>
    <x v="1"/>
  </r>
  <r>
    <x v="1"/>
    <n v="251"/>
    <s v="ALVORADA-PRADO"/>
    <s v="39"/>
    <n v="25.07"/>
    <m/>
    <d v="2026-05-27T00:00:00"/>
    <m/>
    <d v="2026-09-24T00:00:00"/>
    <x v="124"/>
    <m/>
    <x v="6"/>
    <x v="3"/>
    <x v="2"/>
    <m/>
    <x v="0"/>
  </r>
  <r>
    <x v="1"/>
    <n v="251"/>
    <s v="ALVORADA-PRADO"/>
    <s v="40"/>
    <n v="23.42"/>
    <m/>
    <d v="2026-05-30T00:00:00"/>
    <m/>
    <d v="2026-09-27T00:00:00"/>
    <x v="124"/>
    <m/>
    <x v="6"/>
    <x v="3"/>
    <x v="2"/>
    <m/>
    <x v="0"/>
  </r>
  <r>
    <x v="1"/>
    <n v="251"/>
    <s v="ALVORADA-PRADO"/>
    <s v="48"/>
    <n v="13.23"/>
    <m/>
    <d v="2026-06-05T00:00:00"/>
    <m/>
    <d v="2026-10-03T00:00:00"/>
    <x v="124"/>
    <m/>
    <x v="6"/>
    <x v="3"/>
    <x v="2"/>
    <m/>
    <x v="0"/>
  </r>
  <r>
    <x v="1"/>
    <n v="251"/>
    <s v="ALVORADA-PRADO"/>
    <s v="49"/>
    <n v="31.79"/>
    <m/>
    <d v="2026-05-19T00:00:00"/>
    <m/>
    <d v="2026-09-16T00:00:00"/>
    <x v="124"/>
    <m/>
    <x v="6"/>
    <x v="3"/>
    <x v="2"/>
    <m/>
    <x v="0"/>
  </r>
  <r>
    <x v="1"/>
    <n v="251"/>
    <s v="ALVORADA-PRADO"/>
    <s v="50"/>
    <n v="24.8"/>
    <m/>
    <d v="2026-05-21T00:00:00"/>
    <m/>
    <d v="2026-09-18T00:00:00"/>
    <x v="124"/>
    <m/>
    <x v="6"/>
    <x v="3"/>
    <x v="2"/>
    <m/>
    <x v="0"/>
  </r>
  <r>
    <x v="1"/>
    <n v="251"/>
    <s v="ALVORADA-PRADO"/>
    <s v="51"/>
    <n v="29.9"/>
    <m/>
    <d v="2026-05-21T00:00:00"/>
    <m/>
    <d v="2026-09-18T00:00:00"/>
    <x v="124"/>
    <m/>
    <x v="6"/>
    <x v="3"/>
    <x v="2"/>
    <m/>
    <x v="0"/>
  </r>
  <r>
    <x v="1"/>
    <n v="251"/>
    <s v="ALVORADA-PRADO"/>
    <s v="52"/>
    <n v="33.090000000000003"/>
    <m/>
    <d v="2026-05-20T00:00:00"/>
    <m/>
    <d v="2026-09-17T00:00:00"/>
    <x v="124"/>
    <m/>
    <x v="6"/>
    <x v="3"/>
    <x v="2"/>
    <m/>
    <x v="0"/>
  </r>
  <r>
    <x v="1"/>
    <n v="251"/>
    <s v="ALVORADA-PRADO"/>
    <s v="53"/>
    <n v="16.579999999999998"/>
    <m/>
    <d v="2026-05-22T00:00:00"/>
    <m/>
    <d v="2026-09-19T00:00:00"/>
    <x v="124"/>
    <m/>
    <x v="6"/>
    <x v="3"/>
    <x v="2"/>
    <m/>
    <x v="0"/>
  </r>
  <r>
    <x v="1"/>
    <n v="251"/>
    <s v="ALVORADA-PRADO"/>
    <s v="54"/>
    <n v="17.13"/>
    <m/>
    <d v="2026-05-25T00:00:00"/>
    <m/>
    <d v="2026-09-22T00:00:00"/>
    <x v="124"/>
    <m/>
    <x v="6"/>
    <x v="3"/>
    <x v="2"/>
    <m/>
    <x v="0"/>
  </r>
  <r>
    <x v="1"/>
    <n v="251"/>
    <s v="ALVORADA-PRADO"/>
    <s v="55"/>
    <n v="23.61"/>
    <m/>
    <d v="2026-05-19T00:00:00"/>
    <m/>
    <d v="2026-09-16T00:00:00"/>
    <x v="124"/>
    <m/>
    <x v="6"/>
    <x v="3"/>
    <x v="2"/>
    <m/>
    <x v="0"/>
  </r>
  <r>
    <x v="1"/>
    <n v="251"/>
    <s v="ALVORADA-PRADO"/>
    <s v="62"/>
    <n v="35.65"/>
    <m/>
    <d v="2026-05-20T00:00:00"/>
    <m/>
    <d v="2026-09-17T00:00:00"/>
    <x v="124"/>
    <m/>
    <x v="6"/>
    <x v="3"/>
    <x v="2"/>
    <m/>
    <x v="0"/>
  </r>
  <r>
    <x v="1"/>
    <n v="251"/>
    <s v="ALVORADA-PRADO"/>
    <s v="34A"/>
    <n v="35.33"/>
    <m/>
    <d v="2026-05-27T00:00:00"/>
    <m/>
    <d v="2026-09-24T00:00:00"/>
    <x v="124"/>
    <m/>
    <x v="6"/>
    <x v="3"/>
    <x v="2"/>
    <m/>
    <x v="0"/>
  </r>
  <r>
    <x v="1"/>
    <n v="325"/>
    <s v="BONFIM"/>
    <s v="15A"/>
    <n v="30.36"/>
    <m/>
    <d v="2026-06-05T00:00:00"/>
    <m/>
    <d v="2026-10-03T00:00:00"/>
    <x v="124"/>
    <m/>
    <x v="6"/>
    <x v="3"/>
    <x v="2"/>
    <m/>
    <x v="1"/>
  </r>
  <r>
    <x v="1"/>
    <n v="325"/>
    <s v="BONFIM"/>
    <s v="16"/>
    <n v="21.55"/>
    <m/>
    <d v="2026-06-09T00:00:00"/>
    <m/>
    <d v="2026-10-07T00:00:00"/>
    <x v="124"/>
    <m/>
    <x v="6"/>
    <x v="3"/>
    <x v="2"/>
    <m/>
    <x v="1"/>
  </r>
  <r>
    <x v="1"/>
    <n v="325"/>
    <s v="BONFIM"/>
    <s v="9D"/>
    <n v="32.79"/>
    <m/>
    <d v="2026-06-12T00:00:00"/>
    <m/>
    <d v="2026-10-10T00:00:00"/>
    <x v="124"/>
    <m/>
    <x v="6"/>
    <x v="3"/>
    <x v="2"/>
    <m/>
    <x v="1"/>
  </r>
  <r>
    <x v="1"/>
    <n v="325"/>
    <s v="BONFIM"/>
    <s v="9A"/>
    <n v="12.46"/>
    <m/>
    <d v="2026-06-12T00:00:00"/>
    <m/>
    <d v="2026-10-10T00:00:00"/>
    <x v="124"/>
    <m/>
    <x v="6"/>
    <x v="3"/>
    <x v="2"/>
    <m/>
    <x v="1"/>
  </r>
  <r>
    <x v="1"/>
    <n v="325"/>
    <s v="BONFIM"/>
    <s v="12A"/>
    <n v="1.82"/>
    <m/>
    <d v="2026-06-15T00:00:00"/>
    <m/>
    <d v="2026-10-13T00:00:00"/>
    <x v="124"/>
    <m/>
    <x v="6"/>
    <x v="3"/>
    <x v="2"/>
    <m/>
    <x v="1"/>
  </r>
  <r>
    <x v="1"/>
    <n v="338"/>
    <s v="INDIANA II"/>
    <s v="56"/>
    <n v="51.7"/>
    <m/>
    <d v="2026-06-15T00:00:00"/>
    <m/>
    <d v="2026-10-13T00:00:00"/>
    <x v="124"/>
    <m/>
    <x v="6"/>
    <x v="3"/>
    <x v="2"/>
    <m/>
    <x v="0"/>
  </r>
  <r>
    <x v="1"/>
    <n v="338"/>
    <s v="INDIANA II"/>
    <s v="57"/>
    <n v="19.920000000000002"/>
    <m/>
    <d v="2026-06-13T00:00:00"/>
    <m/>
    <d v="2026-10-11T00:00:00"/>
    <x v="124"/>
    <m/>
    <x v="6"/>
    <x v="3"/>
    <x v="2"/>
    <m/>
    <x v="0"/>
  </r>
  <r>
    <x v="1"/>
    <n v="338"/>
    <s v="INDIANA II"/>
    <s v="59"/>
    <n v="38.130000000000003"/>
    <m/>
    <d v="2026-06-09T00:00:00"/>
    <m/>
    <d v="2026-10-07T00:00:00"/>
    <x v="124"/>
    <m/>
    <x v="6"/>
    <x v="3"/>
    <x v="2"/>
    <m/>
    <x v="0"/>
  </r>
  <r>
    <x v="1"/>
    <n v="338"/>
    <s v="INDIANA II"/>
    <s v="63"/>
    <n v="60.32"/>
    <m/>
    <d v="2026-06-13T00:00:00"/>
    <m/>
    <d v="2026-10-11T00:00:00"/>
    <x v="124"/>
    <m/>
    <x v="6"/>
    <x v="3"/>
    <x v="2"/>
    <m/>
    <x v="0"/>
  </r>
  <r>
    <x v="1"/>
    <n v="338"/>
    <s v="INDIANA II"/>
    <s v="61"/>
    <n v="43.33"/>
    <m/>
    <d v="2026-06-07T00:00:00"/>
    <m/>
    <d v="2026-10-05T00:00:00"/>
    <x v="124"/>
    <m/>
    <x v="6"/>
    <x v="3"/>
    <x v="2"/>
    <m/>
    <x v="0"/>
  </r>
  <r>
    <x v="1"/>
    <n v="341"/>
    <s v="SANTA ADÉLIA III"/>
    <s v="10"/>
    <n v="26.8"/>
    <m/>
    <d v="2026-06-15T00:00:00"/>
    <m/>
    <d v="2026-10-13T00:00:00"/>
    <x v="124"/>
    <m/>
    <x v="6"/>
    <x v="3"/>
    <x v="2"/>
    <m/>
    <x v="1"/>
  </r>
  <r>
    <x v="1"/>
    <n v="341"/>
    <s v="SANTA ADÉLIA III"/>
    <s v="12"/>
    <n v="31.13"/>
    <m/>
    <d v="2026-06-04T00:00:00"/>
    <m/>
    <d v="2026-10-02T00:00:00"/>
    <x v="124"/>
    <m/>
    <x v="6"/>
    <x v="3"/>
    <x v="2"/>
    <m/>
    <x v="1"/>
  </r>
  <r>
    <x v="1"/>
    <n v="341"/>
    <s v="SANTA ADÉLIA III"/>
    <s v="13"/>
    <n v="44.56"/>
    <m/>
    <d v="2026-06-01T00:00:00"/>
    <m/>
    <d v="2026-09-29T00:00:00"/>
    <x v="124"/>
    <m/>
    <x v="6"/>
    <x v="3"/>
    <x v="2"/>
    <m/>
    <x v="1"/>
  </r>
  <r>
    <x v="1"/>
    <n v="341"/>
    <s v="SANTA ADÉLIA III"/>
    <s v="14"/>
    <n v="10.45"/>
    <m/>
    <d v="2026-06-08T00:00:00"/>
    <m/>
    <d v="2026-10-06T00:00:00"/>
    <x v="124"/>
    <m/>
    <x v="6"/>
    <x v="3"/>
    <x v="2"/>
    <m/>
    <x v="1"/>
  </r>
  <r>
    <x v="1"/>
    <n v="341"/>
    <s v="SANTA ADÉLIA III"/>
    <s v="14A"/>
    <n v="5.1100000000000003"/>
    <m/>
    <d v="2026-06-08T00:00:00"/>
    <m/>
    <d v="2026-10-06T00:00:00"/>
    <x v="124"/>
    <m/>
    <x v="6"/>
    <x v="3"/>
    <x v="2"/>
    <m/>
    <x v="1"/>
  </r>
  <r>
    <x v="1"/>
    <n v="341"/>
    <s v="SANTA ADÉLIA III"/>
    <s v="15"/>
    <n v="28.83"/>
    <m/>
    <d v="2026-06-13T00:00:00"/>
    <m/>
    <d v="2026-10-11T00:00:00"/>
    <x v="124"/>
    <m/>
    <x v="6"/>
    <x v="3"/>
    <x v="2"/>
    <m/>
    <x v="1"/>
  </r>
  <r>
    <x v="1"/>
    <n v="341"/>
    <s v="SANTA ADÉLIA III"/>
    <s v="15A"/>
    <n v="11.28"/>
    <m/>
    <d v="2026-06-07T00:00:00"/>
    <m/>
    <d v="2026-10-05T00:00:00"/>
    <x v="124"/>
    <m/>
    <x v="6"/>
    <x v="3"/>
    <x v="2"/>
    <m/>
    <x v="1"/>
  </r>
  <r>
    <x v="1"/>
    <n v="341"/>
    <s v="SANTA ADÉLIA III"/>
    <s v="16"/>
    <n v="22.27"/>
    <m/>
    <d v="2026-06-12T00:00:00"/>
    <m/>
    <d v="2026-10-10T00:00:00"/>
    <x v="124"/>
    <m/>
    <x v="6"/>
    <x v="3"/>
    <x v="2"/>
    <m/>
    <x v="1"/>
  </r>
  <r>
    <x v="1"/>
    <n v="341"/>
    <s v="SANTA ADÉLIA III"/>
    <s v="17"/>
    <n v="28.46"/>
    <m/>
    <d v="2026-06-09T00:00:00"/>
    <m/>
    <d v="2026-10-07T00:00:00"/>
    <x v="124"/>
    <m/>
    <x v="6"/>
    <x v="3"/>
    <x v="2"/>
    <m/>
    <x v="1"/>
  </r>
  <r>
    <x v="1"/>
    <n v="341"/>
    <s v="SANTA ADÉLIA III"/>
    <s v="19"/>
    <n v="43.63"/>
    <m/>
    <d v="2026-06-04T00:00:00"/>
    <m/>
    <d v="2026-10-02T00:00:00"/>
    <x v="124"/>
    <m/>
    <x v="6"/>
    <x v="3"/>
    <x v="2"/>
    <m/>
    <x v="1"/>
  </r>
  <r>
    <x v="1"/>
    <n v="341"/>
    <s v="SANTA ADÉLIA III"/>
    <s v="20"/>
    <n v="48.32"/>
    <m/>
    <d v="2026-05-31T00:00:00"/>
    <m/>
    <d v="2026-09-28T00:00:00"/>
    <x v="124"/>
    <m/>
    <x v="6"/>
    <x v="3"/>
    <x v="2"/>
    <m/>
    <x v="1"/>
  </r>
  <r>
    <x v="1"/>
    <n v="341"/>
    <s v="SANTA ADÉLIA III"/>
    <s v="21"/>
    <n v="49.31"/>
    <m/>
    <d v="2026-05-27T00:00:00"/>
    <m/>
    <d v="2026-09-24T00:00:00"/>
    <x v="124"/>
    <m/>
    <x v="6"/>
    <x v="3"/>
    <x v="2"/>
    <m/>
    <x v="1"/>
  </r>
  <r>
    <x v="1"/>
    <n v="341"/>
    <s v="SANTA ADÉLIA III"/>
    <s v="22"/>
    <n v="24.27"/>
    <m/>
    <d v="2026-06-06T00:00:00"/>
    <m/>
    <d v="2026-10-04T00:00:00"/>
    <x v="124"/>
    <m/>
    <x v="6"/>
    <x v="3"/>
    <x v="2"/>
    <m/>
    <x v="1"/>
  </r>
  <r>
    <x v="1"/>
    <n v="355"/>
    <s v="TRÊS IRMÃO - EILY"/>
    <s v="6"/>
    <n v="21.97"/>
    <m/>
    <d v="2026-06-15T00:00:00"/>
    <m/>
    <d v="2026-10-13T00:00:00"/>
    <x v="124"/>
    <m/>
    <x v="6"/>
    <x v="3"/>
    <x v="2"/>
    <m/>
    <x v="1"/>
  </r>
  <r>
    <x v="2"/>
    <n v="200"/>
    <s v="SANTO ANTONIO CLAÚDIO FRANCO"/>
    <s v="48"/>
    <n v="36.979999999999997"/>
    <n v="37.450000000000003"/>
    <d v="2025-12-08T00:00:00"/>
    <d v="2026-05-18T00:00:00"/>
    <m/>
    <x v="105"/>
    <n v="0.22400626322229572"/>
    <x v="1"/>
    <x v="1"/>
    <x v="1"/>
    <m/>
    <x v="0"/>
  </r>
  <r>
    <x v="2"/>
    <n v="200"/>
    <s v="SANTO ANTONIO CLAÚDIO FRANCO"/>
    <s v="67"/>
    <n v="49.72"/>
    <m/>
    <d v="2026-03-30T00:00:00"/>
    <d v="2026-07-14T00:00:00"/>
    <m/>
    <x v="124"/>
    <n v="0.20799771938098524"/>
    <x v="1"/>
    <x v="3"/>
    <x v="1"/>
    <m/>
    <x v="0"/>
  </r>
  <r>
    <x v="2"/>
    <n v="200"/>
    <s v="SANTO ANTONIO CLAÚDIO FRANCO"/>
    <s v="68"/>
    <n v="50.1"/>
    <n v="48.08"/>
    <d v="2026-03-19T00:00:00"/>
    <d v="2026-07-14T00:00:00"/>
    <m/>
    <x v="213"/>
    <n v="0.23122120937814025"/>
    <x v="1"/>
    <x v="0"/>
    <x v="1"/>
    <m/>
    <x v="0"/>
  </r>
  <r>
    <x v="2"/>
    <n v="205"/>
    <s v="GAIVOTA"/>
    <s v="6"/>
    <n v="58.19"/>
    <n v="59.64"/>
    <d v="2026-02-27T00:00:00"/>
    <d v="2026-07-24T00:00:00"/>
    <m/>
    <x v="214"/>
    <n v="0.19993298066388554"/>
    <x v="0"/>
    <x v="1"/>
    <x v="0"/>
    <m/>
    <x v="1"/>
  </r>
  <r>
    <x v="2"/>
    <n v="295"/>
    <s v="BOM RETIRO- GLEBAS A1B1"/>
    <s v="47"/>
    <n v="6.69"/>
    <n v="6.34"/>
    <d v="2025-12-16T00:00:00"/>
    <d v="2026-07-28T00:00:00"/>
    <m/>
    <x v="102"/>
    <n v="0.24558784914142504"/>
    <x v="1"/>
    <x v="1"/>
    <x v="1"/>
    <m/>
    <x v="0"/>
  </r>
  <r>
    <x v="2"/>
    <n v="471"/>
    <s v="ÍNDIA"/>
    <s v="5"/>
    <n v="28.93"/>
    <n v="28.58"/>
    <d v="2025-12-09T00:00:00"/>
    <d v="2026-05-12T00:00:00"/>
    <m/>
    <x v="215"/>
    <n v="0.1744554583208742"/>
    <x v="0"/>
    <x v="2"/>
    <x v="0"/>
    <m/>
    <x v="0"/>
  </r>
  <r>
    <x v="2"/>
    <n v="471"/>
    <s v="ÍNDIA"/>
    <s v="6"/>
    <n v="39.28"/>
    <n v="38.89"/>
    <d v="2025-12-11T00:00:00"/>
    <d v="2026-05-12T00:00:00"/>
    <m/>
    <x v="23"/>
    <n v="0.20995644250754339"/>
    <x v="1"/>
    <x v="0"/>
    <x v="1"/>
    <m/>
    <x v="0"/>
  </r>
  <r>
    <x v="2"/>
    <n v="471"/>
    <s v="ÍNDIA"/>
    <s v="7"/>
    <n v="17.12"/>
    <n v="16.62"/>
    <d v="2025-12-16T00:00:00"/>
    <d v="2026-05-12T00:00:00"/>
    <m/>
    <x v="216"/>
    <n v="0.20690129416781494"/>
    <x v="1"/>
    <x v="1"/>
    <x v="1"/>
    <m/>
    <x v="0"/>
  </r>
  <r>
    <x v="2"/>
    <n v="761"/>
    <s v="CORREGO DO OURO"/>
    <s v="16"/>
    <n v="12.48"/>
    <m/>
    <d v="2026-04-06T00:00:00"/>
    <d v="2026-07-29T00:00:00"/>
    <m/>
    <x v="124"/>
    <m/>
    <x v="6"/>
    <x v="3"/>
    <x v="2"/>
    <m/>
    <x v="2"/>
  </r>
  <r>
    <x v="3"/>
    <m/>
    <m/>
    <m/>
    <m/>
    <m/>
    <m/>
    <m/>
    <m/>
    <x v="124"/>
    <m/>
    <x v="9"/>
    <x v="5"/>
    <x v="4"/>
    <m/>
    <x v="3"/>
  </r>
  <r>
    <x v="3"/>
    <m/>
    <m/>
    <m/>
    <m/>
    <m/>
    <m/>
    <m/>
    <m/>
    <x v="124"/>
    <m/>
    <x v="9"/>
    <x v="5"/>
    <x v="4"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3" cacheId="1" applyNumberFormats="0" applyBorderFormats="0" applyFontFormats="0" applyPatternFormats="0" applyAlignmentFormats="0" applyWidthHeightFormats="1" dataCaption="Valores" updatedVersion="7" minRefreshableVersion="3" itemPrintTitles="1" createdVersion="7" indent="0" outline="1" outlineData="1" multipleFieldFilters="0">
  <location ref="L4:N10" firstHeaderRow="0" firstDataRow="1" firstDataCol="1" rowPageCount="1" colPageCount="1"/>
  <pivotFields count="16">
    <pivotField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>
      <items count="11">
        <item x="7"/>
        <item x="4"/>
        <item x="0"/>
        <item x="1"/>
        <item x="2"/>
        <item x="3"/>
        <item x="5"/>
        <item x="8"/>
        <item x="6"/>
        <item x="9"/>
        <item t="default"/>
      </items>
    </pivotField>
    <pivotField axis="axisPage" multipleItemSelectionAllowed="1" showAll="0">
      <items count="7">
        <item x="0"/>
        <item x="2"/>
        <item x="1"/>
        <item h="1" x="3"/>
        <item x="4"/>
        <item h="1" x="5"/>
        <item t="default"/>
      </items>
    </pivotField>
    <pivotField multipleItemSelectionAllowed="1" showAll="0">
      <items count="6">
        <item x="1"/>
        <item x="0"/>
        <item h="1" x="2"/>
        <item x="3"/>
        <item h="1" x="4"/>
        <item t="default"/>
      </items>
    </pivotField>
    <pivotField showAll="0"/>
    <pivotField showAll="0">
      <items count="5">
        <item x="0"/>
        <item x="2"/>
        <item x="1"/>
        <item h="1" x="3"/>
        <item t="default"/>
      </items>
    </pivotField>
  </pivotFields>
  <rowFields count="1">
    <field x="9"/>
  </rowFields>
  <rowItems count="6"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pageFields count="1">
    <pageField fld="12" hier="-1"/>
  </pageFields>
  <dataFields count="2">
    <dataField name=" Área (ha)" fld="4" baseField="15" baseItem="0" numFmtId="3"/>
    <dataField name="Nº TL" fld="2" subtotal="count" baseField="0" baseItem="0"/>
  </dataFields>
  <formats count="7">
    <format dxfId="26">
      <pivotArea field="12" type="button" dataOnly="0" labelOnly="1" outline="0" axis="axisPage" fieldPosition="0"/>
    </format>
    <format dxfId="25">
      <pivotArea field="9" type="button" dataOnly="0" labelOnly="1" outline="0" axis="axisRow" fieldPosition="0"/>
    </format>
    <format dxfId="24">
      <pivotArea dataOnly="0" labelOnly="1" fieldPosition="0">
        <references count="1">
          <reference field="9" count="6">
            <x v="0"/>
            <x v="1"/>
            <x v="2"/>
            <x v="3"/>
            <x v="4"/>
            <x v="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1">
      <pivotArea dataOnly="0" labelOnly="1" outline="0" fieldPosition="0">
        <references count="1">
          <reference field="12" count="0"/>
        </references>
      </pivotArea>
    </format>
    <format dxfId="20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Medium14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Tabela dinâmica2" cacheId="1" applyNumberFormats="0" applyBorderFormats="0" applyFontFormats="0" applyPatternFormats="0" applyAlignmentFormats="0" applyWidthHeightFormats="1" dataCaption="Valores" updatedVersion="7" minRefreshableVersion="3" itemPrintTitles="1" createdVersion="7" indent="0" outline="1" outlineData="1" multipleFieldFilters="0">
  <location ref="H4:J13" firstHeaderRow="0" firstDataRow="1" firstDataCol="1" rowPageCount="1" colPageCount="1"/>
  <pivotFields count="16">
    <pivotField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axis="axisRow" showAll="0">
      <items count="11">
        <item x="7"/>
        <item x="4"/>
        <item x="0"/>
        <item x="1"/>
        <item x="2"/>
        <item x="3"/>
        <item x="5"/>
        <item x="8"/>
        <item x="6"/>
        <item x="9"/>
        <item t="default"/>
      </items>
    </pivotField>
    <pivotField showAll="0"/>
    <pivotField axis="axisPage" multipleItemSelectionAllowed="1" showAll="0">
      <items count="6">
        <item x="1"/>
        <item x="0"/>
        <item h="1" x="2"/>
        <item x="3"/>
        <item h="1" x="4"/>
        <item t="default"/>
      </items>
    </pivotField>
    <pivotField showAll="0"/>
    <pivotField showAll="0">
      <items count="5">
        <item x="0"/>
        <item x="2"/>
        <item x="1"/>
        <item h="1" x="3"/>
        <item t="default"/>
      </items>
    </pivotField>
  </pivotFields>
  <rowFields count="1">
    <field x="1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pageFields count="1">
    <pageField fld="13" hier="-1"/>
  </pageFields>
  <dataFields count="2">
    <dataField name=" Área (ha)" fld="4" baseField="15" baseItem="0" numFmtId="3"/>
    <dataField name="Nº TL" fld="2" subtotal="count" baseField="0" baseItem="0"/>
  </dataFields>
  <pivotTableStyleInfo name="PivotStyleMedium14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Tabela dinâmica1" cacheId="1" applyNumberFormats="0" applyBorderFormats="0" applyFontFormats="0" applyPatternFormats="0" applyAlignmentFormats="0" applyWidthHeightFormats="1" dataCaption="Valores" updatedVersion="7" minRefreshableVersion="3" itemPrintTitles="1" createdVersion="7" indent="0" outline="1" outlineData="1" multipleFieldFilters="0">
  <location ref="B3:F8" firstHeaderRow="1" firstDataRow="2" firstDataCol="1"/>
  <pivotFields count="16"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h="1" x="3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oma de Área (ha)" fld="4" baseField="15" baseItem="0" numFmtId="3"/>
  </dataFields>
  <pivotTableStyleInfo name="PivotStyleMedium14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name="DadosExternos_1" connectionId="1" autoFormatId="16" applyNumberFormats="0" applyBorderFormats="0" applyFontFormats="0" applyPatternFormats="0" applyAlignmentFormats="0" applyWidthHeightFormats="0">
  <queryTableRefresh nextId="45">
    <queryTableFields count="18">
      <queryTableField id="1" name="Aprovação Talhao" tableColumnId="1"/>
      <queryTableField id="2" name="ID" tableColumnId="2"/>
      <queryTableField id="3" name="Fazenda" tableColumnId="3"/>
      <queryTableField id="4" name="TL" tableColumnId="4"/>
      <queryTableField id="28" name="Área (ha)" tableColumnId="5"/>
      <queryTableField id="29" name="Área Pós Plantio (ha)" tableColumnId="6"/>
      <queryTableField id="7" name="Plantio" tableColumnId="7"/>
      <queryTableField id="44" dataBound="0" tableColumnId="16"/>
      <queryTableField id="34" name="Data Aceite" tableColumnId="14"/>
      <queryTableField id="40" name="Previsão Aceite" tableColumnId="8"/>
      <queryTableField id="42" name="Staus Aceite" tableColumnId="15"/>
      <queryTableField id="9" name="Stand (Plantas/ha)" tableColumnId="9"/>
      <queryTableField id="30" name="CV%" tableColumnId="10"/>
      <queryTableField id="11" name="Classe CV" tableColumnId="11"/>
      <queryTableField id="12" name="Classe Stand" tableColumnId="12"/>
      <queryTableField id="13" name="Conformidade CV" tableColumnId="13"/>
      <queryTableField id="20" name="Divulgação resultado" tableColumnId="17"/>
      <queryTableField id="21" name="Coordenação" tableColumnId="18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Aprovação_Talhao" sourceName="Aprovação Talhao">
  <extLst>
    <x:ext xmlns:x15="http://schemas.microsoft.com/office/spreadsheetml/2010/11/main" uri="{2F2917AC-EB37-4324-AD4E-5DD8C200BD13}">
      <x15:tableSlicerCache tableId="1" column="1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Fazenda" sourceName="Fazenda">
  <extLst>
    <x:ext xmlns:x15="http://schemas.microsoft.com/office/spreadsheetml/2010/11/main" uri="{2F2917AC-EB37-4324-AD4E-5DD8C200BD13}">
      <x15:tableSlicerCache tableId="1" column="3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Conformidade_CV" sourceName="Conformidade CV">
  <extLst>
    <x:ext xmlns:x15="http://schemas.microsoft.com/office/spreadsheetml/2010/11/main" uri="{2F2917AC-EB37-4324-AD4E-5DD8C200BD13}">
      <x15:tableSlicerCache tableId="1" column="13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Coordenação" sourceName="Coordenação">
  <extLst>
    <x:ext xmlns:x15="http://schemas.microsoft.com/office/spreadsheetml/2010/11/main" uri="{2F2917AC-EB37-4324-AD4E-5DD8C200BD13}">
      <x15:tableSlicerCache tableId="1" column="18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Classe_Stand" sourceName="Classe Stand">
  <extLst>
    <x:ext xmlns:x15="http://schemas.microsoft.com/office/spreadsheetml/2010/11/main" uri="{2F2917AC-EB37-4324-AD4E-5DD8C200BD13}">
      <x15:tableSlicerCache tableId="1" column="12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Divulgação_resultado" sourceName="Divulgação resultado">
  <extLst>
    <x:ext xmlns:x15="http://schemas.microsoft.com/office/spreadsheetml/2010/11/main" uri="{2F2917AC-EB37-4324-AD4E-5DD8C200BD13}">
      <x15:tableSlicerCache tableId="1" column="17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Data_Aceite" sourceName="Data Aceite">
  <extLst>
    <x:ext xmlns:x15="http://schemas.microsoft.com/office/spreadsheetml/2010/11/main" uri="{2F2917AC-EB37-4324-AD4E-5DD8C200BD13}">
      <x15:tableSlicerCache tableId="1" column="14"/>
    </x:ex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Aprovação Talhao" cache="SegmentaçãodeDados_Aprovação_Talhao" caption="Aprovação Talhao" style="SlicerStyleLight6" rowHeight="234950"/>
  <slicer name="Fazenda" cache="SegmentaçãodeDados_Fazenda" caption="Fazenda" columnCount="3" style="SlicerStyleLight6" rowHeight="234950"/>
  <slicer name="Conformidade CV" cache="SegmentaçãodeDados_Conformidade_CV" caption="Conformidade CV" columnCount="2" style="SlicerStyleLight6" rowHeight="234950"/>
  <slicer name="Coordenação" cache="SegmentaçãodeDados_Coordenação" caption="Coordenação" style="SlicerStyleLight6" rowHeight="234950"/>
  <slicer name="Classe Stand" cache="SegmentaçãodeDados_Classe_Stand" caption="Classe Stand" columnCount="2" style="SlicerStyleLight6" rowHeight="234950"/>
  <slicer name="Divulgação resultado" cache="SegmentaçãodeDados_Divulgação_resultado" caption="Divulgação resultado" columnCount="2" style="SlicerStyleLight6" rowHeight="234950"/>
  <slicer name="Data Aceite" cache="SegmentaçãodeDados_Data_Aceite" caption="Data Aceite" columnCount="2" style="SlicerStyleLight6" rowHeight="2349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Base_Relatório" displayName="Base_Relatório" ref="B4:S624" tableType="queryTable" totalsRowShown="0" headerRowDxfId="19" dataDxfId="18">
  <autoFilter ref="B4:S624">
    <filterColumn colId="17">
      <filters>
        <filter val="Coordenação 04"/>
      </filters>
    </filterColumn>
  </autoFilter>
  <tableColumns count="18">
    <tableColumn id="1" uniqueName="1" name="Aprovação Talhao" queryTableFieldId="1" dataDxfId="17"/>
    <tableColumn id="2" uniqueName="2" name="ID" queryTableFieldId="2" dataDxfId="16"/>
    <tableColumn id="3" uniqueName="3" name="Fazenda" queryTableFieldId="3" dataDxfId="15"/>
    <tableColumn id="4" uniqueName="4" name="TL" queryTableFieldId="4" dataDxfId="14"/>
    <tableColumn id="5" uniqueName="5" name="Área (ha)" queryTableFieldId="28" dataDxfId="13"/>
    <tableColumn id="6" uniqueName="6" name="Área Pós Plantio (ha)" queryTableFieldId="29" dataDxfId="12"/>
    <tableColumn id="7" uniqueName="7" name="Plantio" queryTableFieldId="7" dataDxfId="2"/>
    <tableColumn id="16" uniqueName="16" name="Idade" queryTableFieldId="44" dataDxfId="0">
      <calculatedColumnFormula>TODAY()-Base_Relatório[[#This Row],[Plantio]]</calculatedColumnFormula>
    </tableColumn>
    <tableColumn id="14" uniqueName="14" name="Data Aceite" queryTableFieldId="34" dataDxfId="1"/>
    <tableColumn id="8" uniqueName="8" name="Previsão Aceite" queryTableFieldId="40" dataDxfId="11"/>
    <tableColumn id="15" uniqueName="15" name="Staus Aceite" queryTableFieldId="42" dataDxfId="10"/>
    <tableColumn id="9" uniqueName="9" name="Stand (Plantas/ha)" queryTableFieldId="9" dataDxfId="9" dataCellStyle="Vírgula"/>
    <tableColumn id="10" uniqueName="10" name="CV%" queryTableFieldId="30" dataDxfId="8" dataCellStyle="Porcentagem"/>
    <tableColumn id="11" uniqueName="11" name="Classe CV" queryTableFieldId="11" dataDxfId="7"/>
    <tableColumn id="12" uniqueName="12" name="Classe Stand" queryTableFieldId="12" dataDxfId="6"/>
    <tableColumn id="13" uniqueName="13" name="Conformidade CV" queryTableFieldId="13" dataDxfId="5"/>
    <tableColumn id="17" uniqueName="17" name="Divulgação resultado" queryTableFieldId="20" dataDxfId="4"/>
    <tableColumn id="18" uniqueName="18" name="Coordenação" queryTableFieldId="21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13"/>
  <sheetViews>
    <sheetView showGridLines="0" workbookViewId="0">
      <pane ySplit="4" topLeftCell="A5" activePane="bottomLeft" state="frozen"/>
      <selection activeCell="A4" sqref="A4"/>
      <selection pane="bottomLeft" activeCell="C22" sqref="C22"/>
    </sheetView>
  </sheetViews>
  <sheetFormatPr defaultRowHeight="14.5" x14ac:dyDescent="0.35"/>
  <cols>
    <col min="1" max="1" width="2.1796875" customWidth="1"/>
    <col min="2" max="2" width="17.453125" customWidth="1"/>
    <col min="3" max="3" width="19" bestFit="1" customWidth="1"/>
    <col min="4" max="4" width="12.36328125" bestFit="1" customWidth="1"/>
    <col min="5" max="5" width="10.1796875" bestFit="1" customWidth="1"/>
    <col min="6" max="6" width="10.453125" bestFit="1" customWidth="1"/>
    <col min="7" max="7" width="2.1796875" customWidth="1"/>
    <col min="8" max="8" width="17.453125" bestFit="1" customWidth="1"/>
    <col min="9" max="9" width="16.90625" bestFit="1" customWidth="1"/>
    <col min="10" max="10" width="20.08984375" bestFit="1" customWidth="1"/>
    <col min="11" max="11" width="2.1796875" customWidth="1"/>
    <col min="12" max="12" width="17.453125" style="12" bestFit="1" customWidth="1"/>
    <col min="13" max="13" width="16.90625" style="12" bestFit="1" customWidth="1"/>
    <col min="14" max="14" width="5.54296875" bestFit="1" customWidth="1"/>
    <col min="15" max="15" width="16.90625" bestFit="1" customWidth="1"/>
  </cols>
  <sheetData>
    <row r="2" spans="2:14" hidden="1" x14ac:dyDescent="0.35">
      <c r="H2" s="7" t="s">
        <v>8</v>
      </c>
      <c r="I2" t="s">
        <v>136</v>
      </c>
      <c r="L2" s="11" t="s">
        <v>7</v>
      </c>
      <c r="M2" s="12" t="s">
        <v>136</v>
      </c>
    </row>
    <row r="3" spans="2:14" hidden="1" x14ac:dyDescent="0.35">
      <c r="B3" s="7" t="s">
        <v>135</v>
      </c>
      <c r="C3" s="7" t="s">
        <v>134</v>
      </c>
    </row>
    <row r="4" spans="2:14" x14ac:dyDescent="0.35">
      <c r="B4" s="7" t="s">
        <v>187</v>
      </c>
      <c r="C4" t="s">
        <v>9</v>
      </c>
      <c r="D4" t="s">
        <v>21</v>
      </c>
      <c r="E4" t="s">
        <v>123</v>
      </c>
      <c r="F4" t="s">
        <v>133</v>
      </c>
      <c r="H4" s="7" t="s">
        <v>187</v>
      </c>
      <c r="I4" t="s">
        <v>138</v>
      </c>
      <c r="J4" t="s">
        <v>137</v>
      </c>
      <c r="L4" s="11" t="s">
        <v>187</v>
      </c>
      <c r="M4" s="12" t="s">
        <v>138</v>
      </c>
      <c r="N4" t="s">
        <v>137</v>
      </c>
    </row>
    <row r="5" spans="2:14" x14ac:dyDescent="0.35">
      <c r="B5" s="8" t="s">
        <v>126</v>
      </c>
      <c r="C5" s="9">
        <v>3738.5846439999996</v>
      </c>
      <c r="D5" s="9">
        <v>9272.0099999999948</v>
      </c>
      <c r="E5" s="9">
        <v>228.82</v>
      </c>
      <c r="F5" s="9">
        <v>13239.414643999993</v>
      </c>
      <c r="H5" s="8" t="s">
        <v>185</v>
      </c>
      <c r="I5" s="9">
        <v>9.48</v>
      </c>
      <c r="J5" s="10">
        <v>1</v>
      </c>
      <c r="L5" s="12" t="s">
        <v>180</v>
      </c>
      <c r="M5" s="13">
        <v>39.06</v>
      </c>
      <c r="N5" s="10">
        <v>1</v>
      </c>
    </row>
    <row r="6" spans="2:14" x14ac:dyDescent="0.35">
      <c r="B6" s="8" t="s">
        <v>128</v>
      </c>
      <c r="C6" s="9">
        <v>528.73</v>
      </c>
      <c r="D6" s="9">
        <v>939.99999999999955</v>
      </c>
      <c r="E6" s="9">
        <v>12.48</v>
      </c>
      <c r="F6" s="9">
        <v>1481.2099999999996</v>
      </c>
      <c r="H6" s="8" t="s">
        <v>160</v>
      </c>
      <c r="I6" s="9">
        <v>1028.03</v>
      </c>
      <c r="J6" s="10">
        <v>35</v>
      </c>
      <c r="L6" s="12" t="s">
        <v>181</v>
      </c>
      <c r="M6" s="13">
        <v>851.81757500000003</v>
      </c>
      <c r="N6" s="10">
        <v>26</v>
      </c>
    </row>
    <row r="7" spans="2:14" x14ac:dyDescent="0.35">
      <c r="B7" s="8" t="s">
        <v>127</v>
      </c>
      <c r="C7" s="9">
        <v>578.20999999999992</v>
      </c>
      <c r="D7" s="9">
        <v>2909.7300000000005</v>
      </c>
      <c r="E7" s="9">
        <v>58.19</v>
      </c>
      <c r="F7" s="9">
        <v>3546.1300000000006</v>
      </c>
      <c r="H7" s="8" t="s">
        <v>156</v>
      </c>
      <c r="I7" s="9">
        <v>3352.14</v>
      </c>
      <c r="J7" s="10">
        <v>98</v>
      </c>
      <c r="L7" s="12" t="s">
        <v>182</v>
      </c>
      <c r="M7" s="13">
        <v>4143.8831899999996</v>
      </c>
      <c r="N7" s="10">
        <v>116</v>
      </c>
    </row>
    <row r="8" spans="2:14" x14ac:dyDescent="0.35">
      <c r="B8" s="8" t="s">
        <v>133</v>
      </c>
      <c r="C8" s="9">
        <v>4845.5246440000001</v>
      </c>
      <c r="D8" s="9">
        <v>13121.739999999994</v>
      </c>
      <c r="E8" s="9">
        <v>299.49</v>
      </c>
      <c r="F8" s="9">
        <v>18266.754643999993</v>
      </c>
      <c r="H8" s="8" t="s">
        <v>157</v>
      </c>
      <c r="I8" s="9">
        <v>2556.5834890000001</v>
      </c>
      <c r="J8" s="10">
        <v>82</v>
      </c>
      <c r="L8" s="12" t="s">
        <v>183</v>
      </c>
      <c r="M8" s="13">
        <v>3418.643879000002</v>
      </c>
      <c r="N8" s="10">
        <v>125</v>
      </c>
    </row>
    <row r="9" spans="2:14" x14ac:dyDescent="0.35">
      <c r="H9" s="8" t="s">
        <v>159</v>
      </c>
      <c r="I9" s="9">
        <v>1135.32358</v>
      </c>
      <c r="J9" s="10">
        <v>35</v>
      </c>
      <c r="L9" s="12" t="s">
        <v>184</v>
      </c>
      <c r="M9" s="13">
        <v>94.02</v>
      </c>
      <c r="N9" s="10">
        <v>5</v>
      </c>
    </row>
    <row r="10" spans="2:14" x14ac:dyDescent="0.35">
      <c r="H10" s="8" t="s">
        <v>161</v>
      </c>
      <c r="I10" s="9">
        <v>318.63757500000003</v>
      </c>
      <c r="J10" s="10">
        <v>11</v>
      </c>
      <c r="L10" s="12" t="s">
        <v>133</v>
      </c>
      <c r="M10" s="13">
        <v>8547.424643999997</v>
      </c>
      <c r="N10" s="10">
        <v>273</v>
      </c>
    </row>
    <row r="11" spans="2:14" x14ac:dyDescent="0.35">
      <c r="H11" s="8" t="s">
        <v>162</v>
      </c>
      <c r="I11" s="9">
        <v>119.98</v>
      </c>
      <c r="J11" s="10">
        <v>6</v>
      </c>
      <c r="L11"/>
      <c r="M11"/>
    </row>
    <row r="12" spans="2:14" x14ac:dyDescent="0.35">
      <c r="H12" s="8" t="s">
        <v>163</v>
      </c>
      <c r="I12" s="9">
        <v>49.76</v>
      </c>
      <c r="J12" s="10">
        <v>2</v>
      </c>
    </row>
    <row r="13" spans="2:14" x14ac:dyDescent="0.35">
      <c r="H13" s="8" t="s">
        <v>133</v>
      </c>
      <c r="I13" s="9">
        <v>8569.9346440000008</v>
      </c>
      <c r="J13" s="10">
        <v>270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G658"/>
  <sheetViews>
    <sheetView showGridLines="0" tabSelected="1" topLeftCell="B1" zoomScale="55" zoomScaleNormal="55" workbookViewId="0">
      <pane ySplit="4" topLeftCell="A5" activePane="bottomLeft" state="frozen"/>
      <selection pane="bottomLeft" activeCell="E617" sqref="E617"/>
    </sheetView>
  </sheetViews>
  <sheetFormatPr defaultColWidth="8.90625" defaultRowHeight="15.5" x14ac:dyDescent="0.35"/>
  <cols>
    <col min="1" max="1" width="2.6328125" style="1" customWidth="1"/>
    <col min="2" max="2" width="34.08984375" style="1" bestFit="1" customWidth="1"/>
    <col min="3" max="3" width="13" style="1" bestFit="1" customWidth="1"/>
    <col min="4" max="4" width="44.54296875" style="1" bestFit="1" customWidth="1"/>
    <col min="5" max="5" width="13.453125" style="1" bestFit="1" customWidth="1"/>
    <col min="6" max="6" width="21.81640625" style="6" bestFit="1" customWidth="1"/>
    <col min="7" max="7" width="38.81640625" style="1" bestFit="1" customWidth="1"/>
    <col min="8" max="8" width="19.54296875" style="1" bestFit="1" customWidth="1"/>
    <col min="9" max="9" width="19.54296875" style="15" customWidth="1"/>
    <col min="10" max="10" width="25.6328125" style="2" bestFit="1" customWidth="1"/>
    <col min="11" max="12" width="31.1796875" style="3" bestFit="1" customWidth="1"/>
    <col min="13" max="13" width="34.6328125" style="1" bestFit="1" customWidth="1"/>
    <col min="14" max="14" width="16.08984375" style="1" bestFit="1" customWidth="1"/>
    <col min="15" max="15" width="23.54296875" style="1" bestFit="1" customWidth="1"/>
    <col min="16" max="16" width="27.36328125" style="1" bestFit="1" customWidth="1"/>
    <col min="17" max="17" width="33.453125" style="1" bestFit="1" customWidth="1"/>
    <col min="18" max="18" width="38" style="1" bestFit="1" customWidth="1"/>
    <col min="19" max="19" width="27.6328125" style="1" customWidth="1"/>
    <col min="20" max="21" width="15.453125" style="1" customWidth="1"/>
    <col min="22" max="35" width="3.54296875" style="1" customWidth="1"/>
    <col min="36" max="37" width="14.6328125" style="1" customWidth="1"/>
    <col min="38" max="38" width="4.453125" style="1" customWidth="1"/>
    <col min="39" max="16384" width="8.90625" style="1"/>
  </cols>
  <sheetData>
    <row r="1" spans="2:33" ht="106.75" customHeight="1" x14ac:dyDescent="0.35"/>
    <row r="3" spans="2:33" hidden="1" x14ac:dyDescent="0.35"/>
    <row r="4" spans="2:33" x14ac:dyDescent="0.35">
      <c r="B4" s="1" t="s">
        <v>0</v>
      </c>
      <c r="C4" s="1" t="s">
        <v>1</v>
      </c>
      <c r="D4" s="1" t="s">
        <v>2</v>
      </c>
      <c r="E4" s="1" t="s">
        <v>3</v>
      </c>
      <c r="F4" s="6" t="s">
        <v>129</v>
      </c>
      <c r="G4" s="1" t="s">
        <v>130</v>
      </c>
      <c r="H4" s="1" t="s">
        <v>4</v>
      </c>
      <c r="I4" s="15" t="s">
        <v>191</v>
      </c>
      <c r="J4" s="2" t="s">
        <v>132</v>
      </c>
      <c r="K4" s="1" t="s">
        <v>186</v>
      </c>
      <c r="L4" s="1" t="s">
        <v>188</v>
      </c>
      <c r="M4" s="3" t="s">
        <v>5</v>
      </c>
      <c r="N4" s="4" t="s">
        <v>131</v>
      </c>
      <c r="O4" s="1" t="s">
        <v>6</v>
      </c>
      <c r="P4" s="1" t="s">
        <v>7</v>
      </c>
      <c r="Q4" s="1" t="s">
        <v>8</v>
      </c>
      <c r="R4" s="2" t="s">
        <v>124</v>
      </c>
      <c r="S4" s="1" t="s">
        <v>125</v>
      </c>
    </row>
    <row r="5" spans="2:33" hidden="1" x14ac:dyDescent="0.35">
      <c r="B5" s="5" t="s">
        <v>9</v>
      </c>
      <c r="C5" s="1">
        <v>134</v>
      </c>
      <c r="D5" s="5" t="s">
        <v>30</v>
      </c>
      <c r="E5" s="5" t="s">
        <v>17</v>
      </c>
      <c r="F5" s="6">
        <v>31.33</v>
      </c>
      <c r="G5" s="1">
        <v>31.18</v>
      </c>
      <c r="H5" s="2">
        <v>46035</v>
      </c>
      <c r="I5" s="15">
        <f ca="1">TODAY()-Base_Relatório[[#This Row],[Plantio]]</f>
        <v>204</v>
      </c>
      <c r="J5" s="2">
        <v>46176</v>
      </c>
      <c r="K5" s="14"/>
      <c r="L5" s="14"/>
      <c r="M5" s="3">
        <v>1127.0833333333333</v>
      </c>
      <c r="N5" s="4">
        <v>0.15717803810251627</v>
      </c>
      <c r="O5" s="5" t="s">
        <v>156</v>
      </c>
      <c r="P5" s="5" t="s">
        <v>9</v>
      </c>
      <c r="Q5" s="5" t="s">
        <v>15</v>
      </c>
      <c r="R5" s="2">
        <v>46183</v>
      </c>
      <c r="S5" s="5" t="s">
        <v>126</v>
      </c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 spans="2:33" hidden="1" x14ac:dyDescent="0.35">
      <c r="B6" s="5" t="s">
        <v>9</v>
      </c>
      <c r="C6" s="1">
        <v>134</v>
      </c>
      <c r="D6" s="5" t="s">
        <v>30</v>
      </c>
      <c r="E6" s="5" t="s">
        <v>20</v>
      </c>
      <c r="F6" s="6">
        <v>9.09</v>
      </c>
      <c r="G6" s="1">
        <v>8.6</v>
      </c>
      <c r="H6" s="2">
        <v>46043</v>
      </c>
      <c r="I6" s="15">
        <f ca="1">TODAY()-Base_Relatório[[#This Row],[Plantio]]</f>
        <v>196</v>
      </c>
      <c r="J6" s="2">
        <v>46206</v>
      </c>
      <c r="K6" s="14"/>
      <c r="L6" s="14"/>
      <c r="M6" s="3">
        <v>950</v>
      </c>
      <c r="N6" s="4">
        <v>0.20974888569089686</v>
      </c>
      <c r="O6" s="5" t="s">
        <v>157</v>
      </c>
      <c r="P6" s="5" t="s">
        <v>12</v>
      </c>
      <c r="Q6" s="5" t="s">
        <v>158</v>
      </c>
      <c r="R6" s="2">
        <v>46209</v>
      </c>
      <c r="S6" s="5" t="s">
        <v>126</v>
      </c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 spans="2:33" hidden="1" x14ac:dyDescent="0.35">
      <c r="B7" s="5" t="s">
        <v>9</v>
      </c>
      <c r="C7" s="1">
        <v>134</v>
      </c>
      <c r="D7" s="5" t="s">
        <v>30</v>
      </c>
      <c r="E7" s="5" t="s">
        <v>23</v>
      </c>
      <c r="F7" s="6">
        <v>14.55</v>
      </c>
      <c r="G7" s="1">
        <v>14.61</v>
      </c>
      <c r="H7" s="2">
        <v>46045</v>
      </c>
      <c r="I7" s="15">
        <f ca="1">TODAY()-Base_Relatório[[#This Row],[Plantio]]</f>
        <v>194</v>
      </c>
      <c r="J7" s="2">
        <v>46206</v>
      </c>
      <c r="K7" s="14"/>
      <c r="L7" s="14"/>
      <c r="M7" s="3">
        <v>1079.1666666666667</v>
      </c>
      <c r="N7" s="4">
        <v>0.20880140775206668</v>
      </c>
      <c r="O7" s="5" t="s">
        <v>157</v>
      </c>
      <c r="P7" s="5" t="s">
        <v>12</v>
      </c>
      <c r="Q7" s="5" t="s">
        <v>158</v>
      </c>
      <c r="R7" s="2">
        <v>46209</v>
      </c>
      <c r="S7" s="5" t="s">
        <v>126</v>
      </c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 spans="2:33" hidden="1" x14ac:dyDescent="0.35">
      <c r="B8" s="5" t="s">
        <v>9</v>
      </c>
      <c r="C8" s="1">
        <v>134</v>
      </c>
      <c r="D8" s="5" t="s">
        <v>30</v>
      </c>
      <c r="E8" s="5" t="s">
        <v>31</v>
      </c>
      <c r="F8" s="6">
        <v>22.11</v>
      </c>
      <c r="G8" s="1">
        <v>21.92</v>
      </c>
      <c r="H8" s="2">
        <v>46049</v>
      </c>
      <c r="I8" s="15">
        <f ca="1">TODAY()-Base_Relatório[[#This Row],[Plantio]]</f>
        <v>190</v>
      </c>
      <c r="J8" s="2">
        <v>46206</v>
      </c>
      <c r="K8" s="14"/>
      <c r="L8" s="14"/>
      <c r="M8" s="3">
        <v>1071.875</v>
      </c>
      <c r="N8" s="4">
        <v>0.22182429664832362</v>
      </c>
      <c r="O8" s="5" t="s">
        <v>157</v>
      </c>
      <c r="P8" s="5" t="s">
        <v>12</v>
      </c>
      <c r="Q8" s="5" t="s">
        <v>158</v>
      </c>
      <c r="R8" s="2">
        <v>46209</v>
      </c>
      <c r="S8" s="5" t="s">
        <v>126</v>
      </c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 spans="2:33" hidden="1" x14ac:dyDescent="0.35">
      <c r="B9" s="5" t="s">
        <v>9</v>
      </c>
      <c r="C9" s="1">
        <v>134</v>
      </c>
      <c r="D9" s="5" t="s">
        <v>30</v>
      </c>
      <c r="E9" s="5" t="s">
        <v>11</v>
      </c>
      <c r="F9" s="6">
        <v>35.36</v>
      </c>
      <c r="G9" s="1">
        <v>34.590000000000003</v>
      </c>
      <c r="H9" s="2">
        <v>46054</v>
      </c>
      <c r="I9" s="15">
        <f ca="1">TODAY()-Base_Relatório[[#This Row],[Plantio]]</f>
        <v>185</v>
      </c>
      <c r="J9" s="2">
        <v>46206</v>
      </c>
      <c r="K9" s="14"/>
      <c r="L9" s="14"/>
      <c r="M9" s="3">
        <v>1121.1538461538462</v>
      </c>
      <c r="N9" s="4">
        <v>0.2164678784139544</v>
      </c>
      <c r="O9" s="5" t="s">
        <v>157</v>
      </c>
      <c r="P9" s="5" t="s">
        <v>9</v>
      </c>
      <c r="Q9" s="5" t="s">
        <v>158</v>
      </c>
      <c r="R9" s="2">
        <v>46209</v>
      </c>
      <c r="S9" s="5" t="s">
        <v>126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 spans="2:33" hidden="1" x14ac:dyDescent="0.35">
      <c r="B10" s="5" t="s">
        <v>9</v>
      </c>
      <c r="C10" s="1">
        <v>134</v>
      </c>
      <c r="D10" s="5" t="s">
        <v>30</v>
      </c>
      <c r="E10" s="5" t="s">
        <v>54</v>
      </c>
      <c r="F10" s="6">
        <v>20.399999999999999</v>
      </c>
      <c r="G10" s="1">
        <v>20.77</v>
      </c>
      <c r="H10" s="2">
        <v>46032</v>
      </c>
      <c r="I10" s="15">
        <f ca="1">TODAY()-Base_Relatório[[#This Row],[Plantio]]</f>
        <v>207</v>
      </c>
      <c r="J10" s="2">
        <v>46176</v>
      </c>
      <c r="K10" s="14"/>
      <c r="L10" s="14"/>
      <c r="M10" s="3">
        <v>1107.1428571428571</v>
      </c>
      <c r="N10" s="4">
        <v>0.22090435366512243</v>
      </c>
      <c r="O10" s="5" t="s">
        <v>157</v>
      </c>
      <c r="P10" s="5" t="s">
        <v>9</v>
      </c>
      <c r="Q10" s="5" t="s">
        <v>158</v>
      </c>
      <c r="R10" s="2">
        <v>46183</v>
      </c>
      <c r="S10" s="5" t="s">
        <v>126</v>
      </c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 spans="2:33" hidden="1" x14ac:dyDescent="0.35">
      <c r="B11" s="5" t="s">
        <v>9</v>
      </c>
      <c r="C11" s="1">
        <v>134</v>
      </c>
      <c r="D11" s="5" t="s">
        <v>30</v>
      </c>
      <c r="E11" s="5" t="s">
        <v>13</v>
      </c>
      <c r="F11" s="6">
        <v>30.05</v>
      </c>
      <c r="G11" s="1">
        <v>30.42</v>
      </c>
      <c r="H11" s="2">
        <v>46030</v>
      </c>
      <c r="I11" s="15">
        <f ca="1">TODAY()-Base_Relatório[[#This Row],[Plantio]]</f>
        <v>209</v>
      </c>
      <c r="J11" s="2">
        <v>46176</v>
      </c>
      <c r="K11" s="14"/>
      <c r="L11" s="14"/>
      <c r="M11" s="3">
        <v>1082.5</v>
      </c>
      <c r="N11" s="4">
        <v>0.15993436247196971</v>
      </c>
      <c r="O11" s="5" t="s">
        <v>156</v>
      </c>
      <c r="P11" s="5" t="s">
        <v>12</v>
      </c>
      <c r="Q11" s="5" t="s">
        <v>15</v>
      </c>
      <c r="R11" s="2">
        <v>46183</v>
      </c>
      <c r="S11" s="5" t="s">
        <v>126</v>
      </c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2:33" hidden="1" x14ac:dyDescent="0.35">
      <c r="B12" s="5" t="s">
        <v>9</v>
      </c>
      <c r="C12" s="1">
        <v>134</v>
      </c>
      <c r="D12" s="5" t="s">
        <v>30</v>
      </c>
      <c r="E12" s="5" t="s">
        <v>55</v>
      </c>
      <c r="F12" s="6">
        <v>29.56</v>
      </c>
      <c r="G12" s="1">
        <v>30.63</v>
      </c>
      <c r="H12" s="2">
        <v>46028</v>
      </c>
      <c r="I12" s="15">
        <f ca="1">TODAY()-Base_Relatório[[#This Row],[Plantio]]</f>
        <v>211</v>
      </c>
      <c r="J12" s="2">
        <v>46176</v>
      </c>
      <c r="K12" s="14"/>
      <c r="L12" s="14"/>
      <c r="M12" s="3">
        <v>1077.5</v>
      </c>
      <c r="N12" s="4">
        <v>0.16722259391095423</v>
      </c>
      <c r="O12" s="5" t="s">
        <v>156</v>
      </c>
      <c r="P12" s="5" t="s">
        <v>12</v>
      </c>
      <c r="Q12" s="5" t="s">
        <v>15</v>
      </c>
      <c r="R12" s="2">
        <v>46183</v>
      </c>
      <c r="S12" s="5" t="s">
        <v>126</v>
      </c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2:33" hidden="1" x14ac:dyDescent="0.35">
      <c r="B13" s="5" t="s">
        <v>9</v>
      </c>
      <c r="C13" s="1">
        <v>134</v>
      </c>
      <c r="D13" s="5" t="s">
        <v>30</v>
      </c>
      <c r="E13" s="5" t="s">
        <v>46</v>
      </c>
      <c r="F13" s="6">
        <v>25.3</v>
      </c>
      <c r="G13" s="1">
        <v>30.34</v>
      </c>
      <c r="H13" s="2">
        <v>46043</v>
      </c>
      <c r="I13" s="15">
        <f ca="1">TODAY()-Base_Relatório[[#This Row],[Plantio]]</f>
        <v>196</v>
      </c>
      <c r="J13" s="2">
        <v>46176</v>
      </c>
      <c r="K13" s="14"/>
      <c r="L13" s="14"/>
      <c r="M13" s="3">
        <v>1068.75</v>
      </c>
      <c r="N13" s="4">
        <v>0.15259069660280702</v>
      </c>
      <c r="O13" s="5" t="s">
        <v>156</v>
      </c>
      <c r="P13" s="5" t="s">
        <v>12</v>
      </c>
      <c r="Q13" s="5" t="s">
        <v>15</v>
      </c>
      <c r="R13" s="2">
        <v>46183</v>
      </c>
      <c r="S13" s="5" t="s">
        <v>126</v>
      </c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2:33" hidden="1" x14ac:dyDescent="0.35">
      <c r="B14" s="5" t="s">
        <v>9</v>
      </c>
      <c r="C14" s="1">
        <v>134</v>
      </c>
      <c r="D14" s="5" t="s">
        <v>30</v>
      </c>
      <c r="E14" s="5" t="s">
        <v>27</v>
      </c>
      <c r="F14" s="6">
        <v>60.49</v>
      </c>
      <c r="G14" s="1">
        <v>60.12</v>
      </c>
      <c r="H14" s="2">
        <v>46038</v>
      </c>
      <c r="I14" s="15">
        <f ca="1">TODAY()-Base_Relatório[[#This Row],[Plantio]]</f>
        <v>201</v>
      </c>
      <c r="J14" s="2">
        <v>46206</v>
      </c>
      <c r="K14" s="14"/>
      <c r="L14" s="14"/>
      <c r="M14" s="3">
        <v>1078.409090909091</v>
      </c>
      <c r="N14" s="4">
        <v>0.17071408183058498</v>
      </c>
      <c r="O14" s="5" t="s">
        <v>156</v>
      </c>
      <c r="P14" s="5" t="s">
        <v>12</v>
      </c>
      <c r="Q14" s="5" t="s">
        <v>15</v>
      </c>
      <c r="R14" s="2">
        <v>46209</v>
      </c>
      <c r="S14" s="5" t="s">
        <v>126</v>
      </c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2:33" hidden="1" x14ac:dyDescent="0.35">
      <c r="B15" s="5" t="s">
        <v>9</v>
      </c>
      <c r="C15" s="1">
        <v>134</v>
      </c>
      <c r="D15" s="5" t="s">
        <v>30</v>
      </c>
      <c r="E15" s="5" t="s">
        <v>28</v>
      </c>
      <c r="F15" s="6">
        <v>42.18</v>
      </c>
      <c r="G15" s="1">
        <v>42.79</v>
      </c>
      <c r="H15" s="2">
        <v>46041</v>
      </c>
      <c r="I15" s="15">
        <f ca="1">TODAY()-Base_Relatório[[#This Row],[Plantio]]</f>
        <v>198</v>
      </c>
      <c r="J15" s="2">
        <v>46206</v>
      </c>
      <c r="K15" s="14"/>
      <c r="L15" s="14"/>
      <c r="M15" s="3">
        <v>1158.9285714285713</v>
      </c>
      <c r="N15" s="4">
        <v>0.19415379964211202</v>
      </c>
      <c r="O15" s="5" t="s">
        <v>156</v>
      </c>
      <c r="P15" s="5" t="s">
        <v>9</v>
      </c>
      <c r="Q15" s="5" t="s">
        <v>15</v>
      </c>
      <c r="R15" s="2">
        <v>46209</v>
      </c>
      <c r="S15" s="5" t="s">
        <v>126</v>
      </c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 spans="2:33" hidden="1" x14ac:dyDescent="0.35">
      <c r="B16" s="5" t="s">
        <v>9</v>
      </c>
      <c r="C16" s="1">
        <v>134</v>
      </c>
      <c r="D16" s="5" t="s">
        <v>30</v>
      </c>
      <c r="E16" s="5" t="s">
        <v>29</v>
      </c>
      <c r="F16" s="6">
        <v>19.79</v>
      </c>
      <c r="G16" s="1">
        <v>19.239999999999998</v>
      </c>
      <c r="H16" s="2">
        <v>46042</v>
      </c>
      <c r="I16" s="15">
        <f ca="1">TODAY()-Base_Relatório[[#This Row],[Plantio]]</f>
        <v>197</v>
      </c>
      <c r="J16" s="2">
        <v>46206</v>
      </c>
      <c r="K16" s="14"/>
      <c r="L16" s="14"/>
      <c r="M16" s="3">
        <v>1000</v>
      </c>
      <c r="N16" s="4">
        <v>0.18476786944840543</v>
      </c>
      <c r="O16" s="5" t="s">
        <v>156</v>
      </c>
      <c r="P16" s="5" t="s">
        <v>12</v>
      </c>
      <c r="Q16" s="5" t="s">
        <v>15</v>
      </c>
      <c r="R16" s="2">
        <v>46209</v>
      </c>
      <c r="S16" s="5" t="s">
        <v>126</v>
      </c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spans="2:33" hidden="1" x14ac:dyDescent="0.35">
      <c r="B17" s="5" t="s">
        <v>9</v>
      </c>
      <c r="C17" s="1">
        <v>200</v>
      </c>
      <c r="D17" s="5" t="s">
        <v>10</v>
      </c>
      <c r="E17" s="5" t="s">
        <v>20</v>
      </c>
      <c r="F17" s="6">
        <v>43.24</v>
      </c>
      <c r="G17" s="1">
        <v>43.28</v>
      </c>
      <c r="H17" s="2">
        <v>46008</v>
      </c>
      <c r="I17" s="15">
        <f ca="1">TODAY()-Base_Relatório[[#This Row],[Plantio]]</f>
        <v>231</v>
      </c>
      <c r="J17" s="2">
        <v>46190</v>
      </c>
      <c r="K17" s="14"/>
      <c r="L17" s="14"/>
      <c r="M17" s="3">
        <v>1078.5714285714287</v>
      </c>
      <c r="N17" s="4">
        <v>0.29928999596174266</v>
      </c>
      <c r="O17" s="5" t="s">
        <v>159</v>
      </c>
      <c r="P17" s="5" t="s">
        <v>12</v>
      </c>
      <c r="Q17" s="5" t="s">
        <v>158</v>
      </c>
      <c r="R17" s="2">
        <v>46192</v>
      </c>
      <c r="S17" s="5" t="s">
        <v>126</v>
      </c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2:33" hidden="1" x14ac:dyDescent="0.35">
      <c r="B18" s="5" t="s">
        <v>9</v>
      </c>
      <c r="C18" s="1">
        <v>200</v>
      </c>
      <c r="D18" s="5" t="s">
        <v>10</v>
      </c>
      <c r="E18" s="5" t="s">
        <v>23</v>
      </c>
      <c r="F18" s="6">
        <v>29.55</v>
      </c>
      <c r="G18" s="1">
        <v>29.98</v>
      </c>
      <c r="H18" s="2">
        <v>45996</v>
      </c>
      <c r="I18" s="15">
        <f ca="1">TODAY()-Base_Relatório[[#This Row],[Plantio]]</f>
        <v>243</v>
      </c>
      <c r="J18" s="2">
        <v>46190</v>
      </c>
      <c r="K18" s="14"/>
      <c r="L18" s="14"/>
      <c r="M18" s="3">
        <v>1100</v>
      </c>
      <c r="N18" s="4">
        <v>0.21636681676161054</v>
      </c>
      <c r="O18" s="5" t="s">
        <v>157</v>
      </c>
      <c r="P18" s="5" t="s">
        <v>9</v>
      </c>
      <c r="Q18" s="5" t="s">
        <v>158</v>
      </c>
      <c r="R18" s="2">
        <v>46192</v>
      </c>
      <c r="S18" s="5" t="s">
        <v>126</v>
      </c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spans="2:33" hidden="1" x14ac:dyDescent="0.35">
      <c r="B19" s="5" t="s">
        <v>9</v>
      </c>
      <c r="C19" s="1">
        <v>200</v>
      </c>
      <c r="D19" s="5" t="s">
        <v>10</v>
      </c>
      <c r="E19" s="5" t="s">
        <v>11</v>
      </c>
      <c r="F19" s="6">
        <v>49.39</v>
      </c>
      <c r="G19" s="1">
        <v>50.13</v>
      </c>
      <c r="H19" s="2">
        <v>45982</v>
      </c>
      <c r="I19" s="15">
        <f ca="1">TODAY()-Base_Relatório[[#This Row],[Plantio]]</f>
        <v>257</v>
      </c>
      <c r="J19" s="2">
        <v>46160</v>
      </c>
      <c r="K19" s="14"/>
      <c r="L19" s="14"/>
      <c r="M19" s="3">
        <v>1053.3333333333333</v>
      </c>
      <c r="N19" s="4">
        <v>0.21078847348311341</v>
      </c>
      <c r="O19" s="5" t="s">
        <v>157</v>
      </c>
      <c r="P19" s="5" t="s">
        <v>12</v>
      </c>
      <c r="Q19" s="5" t="s">
        <v>158</v>
      </c>
      <c r="R19" s="2">
        <v>46183</v>
      </c>
      <c r="S19" s="5" t="s">
        <v>126</v>
      </c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spans="2:33" hidden="1" x14ac:dyDescent="0.35">
      <c r="B20" s="5" t="s">
        <v>9</v>
      </c>
      <c r="C20" s="1">
        <v>200</v>
      </c>
      <c r="D20" s="5" t="s">
        <v>10</v>
      </c>
      <c r="E20" s="5" t="s">
        <v>52</v>
      </c>
      <c r="F20" s="6">
        <v>17.16</v>
      </c>
      <c r="G20" s="1">
        <v>17.079999999999998</v>
      </c>
      <c r="H20" s="2">
        <v>46032</v>
      </c>
      <c r="I20" s="15">
        <f ca="1">TODAY()-Base_Relatório[[#This Row],[Plantio]]</f>
        <v>207</v>
      </c>
      <c r="J20" s="2">
        <v>46231</v>
      </c>
      <c r="K20" s="14"/>
      <c r="L20" s="14"/>
      <c r="M20" s="3">
        <v>991.66666666666663</v>
      </c>
      <c r="N20" s="4">
        <v>0.28337884869467933</v>
      </c>
      <c r="O20" s="5" t="s">
        <v>159</v>
      </c>
      <c r="P20" s="5" t="s">
        <v>12</v>
      </c>
      <c r="Q20" s="5" t="s">
        <v>158</v>
      </c>
      <c r="R20" s="2">
        <v>46233</v>
      </c>
      <c r="S20" s="5" t="s">
        <v>126</v>
      </c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2:33" hidden="1" x14ac:dyDescent="0.35">
      <c r="B21" s="5" t="s">
        <v>9</v>
      </c>
      <c r="C21" s="1">
        <v>200</v>
      </c>
      <c r="D21" s="5" t="s">
        <v>10</v>
      </c>
      <c r="E21" s="5" t="s">
        <v>54</v>
      </c>
      <c r="F21" s="6">
        <v>25.81</v>
      </c>
      <c r="G21" s="1">
        <v>26.24</v>
      </c>
      <c r="H21" s="2">
        <v>45982</v>
      </c>
      <c r="I21" s="15">
        <f ca="1">TODAY()-Base_Relatório[[#This Row],[Plantio]]</f>
        <v>257</v>
      </c>
      <c r="J21" s="2">
        <v>46190</v>
      </c>
      <c r="K21" s="14"/>
      <c r="L21" s="14"/>
      <c r="M21" s="3">
        <v>1066.6666666666667</v>
      </c>
      <c r="N21" s="4">
        <v>0.26039367008999786</v>
      </c>
      <c r="O21" s="5" t="s">
        <v>159</v>
      </c>
      <c r="P21" s="5" t="s">
        <v>12</v>
      </c>
      <c r="Q21" s="5" t="s">
        <v>158</v>
      </c>
      <c r="R21" s="2">
        <v>46192</v>
      </c>
      <c r="S21" s="5" t="s">
        <v>126</v>
      </c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spans="2:33" hidden="1" x14ac:dyDescent="0.35">
      <c r="B22" s="5" t="s">
        <v>9</v>
      </c>
      <c r="C22" s="1">
        <v>200</v>
      </c>
      <c r="D22" s="5" t="s">
        <v>10</v>
      </c>
      <c r="E22" s="5" t="s">
        <v>35</v>
      </c>
      <c r="F22" s="6">
        <v>30.09</v>
      </c>
      <c r="G22" s="1">
        <v>30.33</v>
      </c>
      <c r="H22" s="2">
        <v>46034</v>
      </c>
      <c r="I22" s="15">
        <f ca="1">TODAY()-Base_Relatório[[#This Row],[Plantio]]</f>
        <v>205</v>
      </c>
      <c r="J22" s="2">
        <v>46206</v>
      </c>
      <c r="K22" s="14"/>
      <c r="L22" s="14"/>
      <c r="M22" s="3">
        <v>1004.5454545454545</v>
      </c>
      <c r="N22" s="4">
        <v>0.30213308631885283</v>
      </c>
      <c r="O22" s="5" t="s">
        <v>161</v>
      </c>
      <c r="P22" s="5" t="s">
        <v>12</v>
      </c>
      <c r="Q22" s="5" t="s">
        <v>158</v>
      </c>
      <c r="R22" s="2">
        <v>46209</v>
      </c>
      <c r="S22" s="5" t="s">
        <v>126</v>
      </c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spans="2:33" hidden="1" x14ac:dyDescent="0.35">
      <c r="B23" s="5" t="s">
        <v>9</v>
      </c>
      <c r="C23" s="1">
        <v>200</v>
      </c>
      <c r="D23" s="5" t="s">
        <v>10</v>
      </c>
      <c r="E23" s="5" t="s">
        <v>99</v>
      </c>
      <c r="F23" s="6">
        <v>52.29</v>
      </c>
      <c r="G23" s="1">
        <v>51.92</v>
      </c>
      <c r="H23" s="2">
        <v>46002</v>
      </c>
      <c r="I23" s="15">
        <f ca="1">TODAY()-Base_Relatório[[#This Row],[Plantio]]</f>
        <v>237</v>
      </c>
      <c r="J23" s="2">
        <v>46231</v>
      </c>
      <c r="K23" s="14"/>
      <c r="L23" s="14"/>
      <c r="M23" s="3">
        <v>1080.8823529411766</v>
      </c>
      <c r="N23" s="4">
        <v>0.18255939447779015</v>
      </c>
      <c r="O23" s="5" t="s">
        <v>156</v>
      </c>
      <c r="P23" s="5" t="s">
        <v>12</v>
      </c>
      <c r="Q23" s="5" t="s">
        <v>15</v>
      </c>
      <c r="R23" s="2">
        <v>46233</v>
      </c>
      <c r="S23" s="5" t="s">
        <v>126</v>
      </c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spans="2:33" hidden="1" x14ac:dyDescent="0.35">
      <c r="B24" s="5" t="s">
        <v>9</v>
      </c>
      <c r="C24" s="1">
        <v>200</v>
      </c>
      <c r="D24" s="5" t="s">
        <v>10</v>
      </c>
      <c r="E24" s="5" t="s">
        <v>37</v>
      </c>
      <c r="F24" s="6">
        <v>28.73</v>
      </c>
      <c r="G24" s="1">
        <v>29.63</v>
      </c>
      <c r="H24" s="2">
        <v>46008</v>
      </c>
      <c r="I24" s="15">
        <f ca="1">TODAY()-Base_Relatório[[#This Row],[Plantio]]</f>
        <v>231</v>
      </c>
      <c r="J24" s="2">
        <v>46190</v>
      </c>
      <c r="K24" s="14"/>
      <c r="L24" s="14"/>
      <c r="M24" s="3">
        <v>1146.875</v>
      </c>
      <c r="N24" s="4">
        <v>0.21199934138607934</v>
      </c>
      <c r="O24" s="5" t="s">
        <v>157</v>
      </c>
      <c r="P24" s="5" t="s">
        <v>9</v>
      </c>
      <c r="Q24" s="5" t="s">
        <v>158</v>
      </c>
      <c r="R24" s="2">
        <v>46192</v>
      </c>
      <c r="S24" s="5" t="s">
        <v>126</v>
      </c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spans="2:33" hidden="1" x14ac:dyDescent="0.35">
      <c r="B25" s="5" t="s">
        <v>9</v>
      </c>
      <c r="C25" s="1">
        <v>200</v>
      </c>
      <c r="D25" s="5" t="s">
        <v>10</v>
      </c>
      <c r="E25" s="5" t="s">
        <v>38</v>
      </c>
      <c r="F25" s="6">
        <v>23.56</v>
      </c>
      <c r="G25" s="1">
        <v>23.41</v>
      </c>
      <c r="H25" s="2">
        <v>46031</v>
      </c>
      <c r="I25" s="15">
        <f ca="1">TODAY()-Base_Relatório[[#This Row],[Plantio]]</f>
        <v>208</v>
      </c>
      <c r="J25" s="2">
        <v>46206</v>
      </c>
      <c r="K25" s="14"/>
      <c r="L25" s="14"/>
      <c r="M25" s="3">
        <v>1050</v>
      </c>
      <c r="N25" s="4">
        <v>0.25048289279792069</v>
      </c>
      <c r="O25" s="5" t="s">
        <v>159</v>
      </c>
      <c r="P25" s="5" t="s">
        <v>12</v>
      </c>
      <c r="Q25" s="5" t="s">
        <v>158</v>
      </c>
      <c r="R25" s="2">
        <v>46209</v>
      </c>
      <c r="S25" s="5" t="s">
        <v>126</v>
      </c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spans="2:33" hidden="1" x14ac:dyDescent="0.35">
      <c r="B26" s="5" t="s">
        <v>9</v>
      </c>
      <c r="C26" s="1">
        <v>200</v>
      </c>
      <c r="D26" s="5" t="s">
        <v>10</v>
      </c>
      <c r="E26" s="5" t="s">
        <v>13</v>
      </c>
      <c r="F26" s="6">
        <v>31.5</v>
      </c>
      <c r="G26" s="1">
        <v>31.66</v>
      </c>
      <c r="H26" s="2">
        <v>45979</v>
      </c>
      <c r="I26" s="15">
        <f ca="1">TODAY()-Base_Relatório[[#This Row],[Plantio]]</f>
        <v>260</v>
      </c>
      <c r="J26" s="2">
        <v>46160</v>
      </c>
      <c r="K26" s="14"/>
      <c r="L26" s="14"/>
      <c r="M26" s="3">
        <v>1154.5454545454545</v>
      </c>
      <c r="N26" s="4">
        <v>0.25689252085048653</v>
      </c>
      <c r="O26" s="5" t="s">
        <v>159</v>
      </c>
      <c r="P26" s="5" t="s">
        <v>9</v>
      </c>
      <c r="Q26" s="5" t="s">
        <v>158</v>
      </c>
      <c r="R26" s="2">
        <v>46183</v>
      </c>
      <c r="S26" s="5" t="s">
        <v>126</v>
      </c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2:33" hidden="1" x14ac:dyDescent="0.35">
      <c r="B27" s="5" t="s">
        <v>9</v>
      </c>
      <c r="C27" s="1">
        <v>200</v>
      </c>
      <c r="D27" s="5" t="s">
        <v>10</v>
      </c>
      <c r="E27" s="5" t="s">
        <v>58</v>
      </c>
      <c r="F27" s="6">
        <v>53.79</v>
      </c>
      <c r="G27" s="1">
        <v>54.44</v>
      </c>
      <c r="H27" s="2">
        <v>46043</v>
      </c>
      <c r="I27" s="15">
        <f ca="1">TODAY()-Base_Relatório[[#This Row],[Plantio]]</f>
        <v>196</v>
      </c>
      <c r="J27" s="2">
        <v>46206</v>
      </c>
      <c r="K27" s="14"/>
      <c r="L27" s="14"/>
      <c r="M27" s="3">
        <v>1139.4736842105262</v>
      </c>
      <c r="N27" s="4">
        <v>0.191048418136645</v>
      </c>
      <c r="O27" s="5" t="s">
        <v>156</v>
      </c>
      <c r="P27" s="5" t="s">
        <v>9</v>
      </c>
      <c r="Q27" s="5" t="s">
        <v>15</v>
      </c>
      <c r="R27" s="2">
        <v>46209</v>
      </c>
      <c r="S27" s="5" t="s">
        <v>126</v>
      </c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2:33" hidden="1" x14ac:dyDescent="0.35">
      <c r="B28" s="5" t="s">
        <v>9</v>
      </c>
      <c r="C28" s="1">
        <v>200</v>
      </c>
      <c r="D28" s="5" t="s">
        <v>10</v>
      </c>
      <c r="E28" s="5" t="s">
        <v>44</v>
      </c>
      <c r="F28" s="6">
        <v>11.57</v>
      </c>
      <c r="G28" s="1">
        <v>11.91</v>
      </c>
      <c r="H28" s="2">
        <v>46001</v>
      </c>
      <c r="I28" s="15">
        <f ca="1">TODAY()-Base_Relatório[[#This Row],[Plantio]]</f>
        <v>238</v>
      </c>
      <c r="J28" s="2">
        <v>46176</v>
      </c>
      <c r="K28" s="14"/>
      <c r="L28" s="14"/>
      <c r="M28" s="3">
        <v>991.66666666666663</v>
      </c>
      <c r="N28" s="4">
        <v>0.2472229053597659</v>
      </c>
      <c r="O28" s="5" t="s">
        <v>157</v>
      </c>
      <c r="P28" s="5" t="s">
        <v>12</v>
      </c>
      <c r="Q28" s="5" t="s">
        <v>158</v>
      </c>
      <c r="R28" s="2">
        <v>46183</v>
      </c>
      <c r="S28" s="5" t="s">
        <v>126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spans="2:33" hidden="1" x14ac:dyDescent="0.35">
      <c r="B29" s="5" t="s">
        <v>9</v>
      </c>
      <c r="C29" s="1">
        <v>200</v>
      </c>
      <c r="D29" s="5" t="s">
        <v>10</v>
      </c>
      <c r="E29" s="5" t="s">
        <v>45</v>
      </c>
      <c r="F29" s="6">
        <v>28.04</v>
      </c>
      <c r="G29" s="1">
        <v>15.78</v>
      </c>
      <c r="H29" s="2">
        <v>45999</v>
      </c>
      <c r="I29" s="15">
        <f ca="1">TODAY()-Base_Relatório[[#This Row],[Plantio]]</f>
        <v>240</v>
      </c>
      <c r="J29" s="2">
        <v>46190</v>
      </c>
      <c r="K29" s="14"/>
      <c r="L29" s="14"/>
      <c r="M29" s="3">
        <v>1125</v>
      </c>
      <c r="N29" s="4">
        <v>0.17255027738473544</v>
      </c>
      <c r="O29" s="5" t="s">
        <v>156</v>
      </c>
      <c r="P29" s="5" t="s">
        <v>9</v>
      </c>
      <c r="Q29" s="5" t="s">
        <v>15</v>
      </c>
      <c r="R29" s="2">
        <v>46192</v>
      </c>
      <c r="S29" s="5" t="s">
        <v>126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2:33" hidden="1" x14ac:dyDescent="0.35">
      <c r="B30" s="5" t="s">
        <v>9</v>
      </c>
      <c r="C30" s="1">
        <v>200</v>
      </c>
      <c r="D30" s="5" t="s">
        <v>10</v>
      </c>
      <c r="E30" s="5" t="s">
        <v>14</v>
      </c>
      <c r="F30" s="6">
        <v>15.32</v>
      </c>
      <c r="G30" s="1">
        <v>27.95</v>
      </c>
      <c r="H30" s="2">
        <v>45994</v>
      </c>
      <c r="I30" s="15">
        <f ca="1">TODAY()-Base_Relatório[[#This Row],[Plantio]]</f>
        <v>245</v>
      </c>
      <c r="J30" s="2">
        <v>46160</v>
      </c>
      <c r="K30" s="14"/>
      <c r="L30" s="14"/>
      <c r="M30" s="3">
        <v>1133.3333333333333</v>
      </c>
      <c r="N30" s="4">
        <v>0.12131638233392113</v>
      </c>
      <c r="O30" s="5" t="s">
        <v>160</v>
      </c>
      <c r="P30" s="5" t="s">
        <v>9</v>
      </c>
      <c r="Q30" s="5" t="s">
        <v>15</v>
      </c>
      <c r="R30" s="2">
        <v>46183</v>
      </c>
      <c r="S30" s="5" t="s">
        <v>126</v>
      </c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2:33" hidden="1" x14ac:dyDescent="0.35">
      <c r="B31" s="5" t="s">
        <v>9</v>
      </c>
      <c r="C31" s="1">
        <v>200</v>
      </c>
      <c r="D31" s="5" t="s">
        <v>10</v>
      </c>
      <c r="E31" s="5" t="s">
        <v>55</v>
      </c>
      <c r="F31" s="6">
        <v>49.64</v>
      </c>
      <c r="G31" s="1">
        <v>49.31</v>
      </c>
      <c r="H31" s="2">
        <v>45994</v>
      </c>
      <c r="I31" s="15">
        <f ca="1">TODAY()-Base_Relatório[[#This Row],[Plantio]]</f>
        <v>245</v>
      </c>
      <c r="J31" s="2">
        <v>46206</v>
      </c>
      <c r="K31" s="14"/>
      <c r="L31" s="14"/>
      <c r="M31" s="3">
        <v>1129.4117647058824</v>
      </c>
      <c r="N31" s="4">
        <v>0.29353441472192637</v>
      </c>
      <c r="O31" s="5" t="s">
        <v>159</v>
      </c>
      <c r="P31" s="5" t="s">
        <v>9</v>
      </c>
      <c r="Q31" s="5" t="s">
        <v>158</v>
      </c>
      <c r="R31" s="2">
        <v>46209</v>
      </c>
      <c r="S31" s="5" t="s">
        <v>126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spans="2:33" hidden="1" x14ac:dyDescent="0.35">
      <c r="B32" s="5" t="s">
        <v>9</v>
      </c>
      <c r="C32" s="1">
        <v>200</v>
      </c>
      <c r="D32" s="5" t="s">
        <v>10</v>
      </c>
      <c r="E32" s="5" t="s">
        <v>65</v>
      </c>
      <c r="F32" s="6">
        <v>42.6</v>
      </c>
      <c r="G32" s="1">
        <v>41.69</v>
      </c>
      <c r="H32" s="2">
        <v>46018</v>
      </c>
      <c r="I32" s="15">
        <f ca="1">TODAY()-Base_Relatório[[#This Row],[Plantio]]</f>
        <v>221</v>
      </c>
      <c r="J32" s="2">
        <v>46206</v>
      </c>
      <c r="K32" s="14"/>
      <c r="L32" s="14"/>
      <c r="M32" s="3">
        <v>1023.0769230769231</v>
      </c>
      <c r="N32" s="4">
        <v>0.35291447277007637</v>
      </c>
      <c r="O32" s="5" t="s">
        <v>162</v>
      </c>
      <c r="P32" s="5" t="s">
        <v>12</v>
      </c>
      <c r="Q32" s="5" t="s">
        <v>158</v>
      </c>
      <c r="R32" s="2">
        <v>46209</v>
      </c>
      <c r="S32" s="5" t="s">
        <v>126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spans="2:33" hidden="1" x14ac:dyDescent="0.35">
      <c r="B33" s="5" t="s">
        <v>9</v>
      </c>
      <c r="C33" s="1">
        <v>200</v>
      </c>
      <c r="D33" s="5" t="s">
        <v>10</v>
      </c>
      <c r="E33" s="5" t="s">
        <v>80</v>
      </c>
      <c r="F33" s="6">
        <v>51.5</v>
      </c>
      <c r="G33" s="1">
        <v>11.88</v>
      </c>
      <c r="H33" s="2">
        <v>46098</v>
      </c>
      <c r="I33" s="15">
        <f ca="1">TODAY()-Base_Relatório[[#This Row],[Plantio]]</f>
        <v>141</v>
      </c>
      <c r="J33" s="2">
        <v>46217</v>
      </c>
      <c r="K33" s="14"/>
      <c r="L33" s="14"/>
      <c r="M33" s="3">
        <v>943.75</v>
      </c>
      <c r="N33" s="4">
        <v>0.22322510060522496</v>
      </c>
      <c r="O33" s="5" t="s">
        <v>157</v>
      </c>
      <c r="P33" s="5" t="s">
        <v>12</v>
      </c>
      <c r="Q33" s="5" t="s">
        <v>158</v>
      </c>
      <c r="R33" s="2">
        <v>46233</v>
      </c>
      <c r="S33" s="5" t="s">
        <v>126</v>
      </c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spans="2:33" hidden="1" x14ac:dyDescent="0.35">
      <c r="B34" s="5" t="s">
        <v>9</v>
      </c>
      <c r="C34" s="1">
        <v>200</v>
      </c>
      <c r="D34" s="5" t="s">
        <v>10</v>
      </c>
      <c r="E34" s="5" t="s">
        <v>28</v>
      </c>
      <c r="F34" s="6">
        <v>32.03</v>
      </c>
      <c r="G34" s="1">
        <v>31.86</v>
      </c>
      <c r="H34" s="2">
        <v>46000</v>
      </c>
      <c r="I34" s="15">
        <f ca="1">TODAY()-Base_Relatório[[#This Row],[Plantio]]</f>
        <v>239</v>
      </c>
      <c r="J34" s="2">
        <v>46190</v>
      </c>
      <c r="K34" s="14"/>
      <c r="L34" s="14"/>
      <c r="M34" s="3">
        <v>1145.4545454545455</v>
      </c>
      <c r="N34" s="4">
        <v>0.22189932087700198</v>
      </c>
      <c r="O34" s="5" t="s">
        <v>157</v>
      </c>
      <c r="P34" s="5" t="s">
        <v>9</v>
      </c>
      <c r="Q34" s="5" t="s">
        <v>158</v>
      </c>
      <c r="R34" s="2">
        <v>46192</v>
      </c>
      <c r="S34" s="5" t="s">
        <v>126</v>
      </c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spans="2:33" hidden="1" x14ac:dyDescent="0.35">
      <c r="B35" s="5" t="s">
        <v>9</v>
      </c>
      <c r="C35" s="1">
        <v>200</v>
      </c>
      <c r="D35" s="5" t="s">
        <v>10</v>
      </c>
      <c r="E35" s="5" t="s">
        <v>29</v>
      </c>
      <c r="F35" s="6">
        <v>21.62</v>
      </c>
      <c r="G35" s="1">
        <v>21.77</v>
      </c>
      <c r="H35" s="2">
        <v>46002</v>
      </c>
      <c r="I35" s="15">
        <f ca="1">TODAY()-Base_Relatório[[#This Row],[Plantio]]</f>
        <v>237</v>
      </c>
      <c r="J35" s="2">
        <v>46190</v>
      </c>
      <c r="K35" s="14"/>
      <c r="L35" s="14"/>
      <c r="M35" s="3">
        <v>1140.625</v>
      </c>
      <c r="N35" s="4">
        <v>0.25927654426599878</v>
      </c>
      <c r="O35" s="5" t="s">
        <v>159</v>
      </c>
      <c r="P35" s="5" t="s">
        <v>9</v>
      </c>
      <c r="Q35" s="5" t="s">
        <v>158</v>
      </c>
      <c r="R35" s="2">
        <v>46192</v>
      </c>
      <c r="S35" s="5" t="s">
        <v>126</v>
      </c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spans="2:33" x14ac:dyDescent="0.35">
      <c r="B36" s="5" t="s">
        <v>9</v>
      </c>
      <c r="C36" s="1">
        <v>205</v>
      </c>
      <c r="D36" s="5" t="s">
        <v>82</v>
      </c>
      <c r="E36" s="5" t="s">
        <v>17</v>
      </c>
      <c r="F36" s="6">
        <v>45.9</v>
      </c>
      <c r="G36" s="1">
        <v>46.29</v>
      </c>
      <c r="H36" s="2">
        <v>46093</v>
      </c>
      <c r="I36" s="15">
        <f ca="1">TODAY()-Base_Relatório[[#This Row],[Plantio]]</f>
        <v>146</v>
      </c>
      <c r="J36" s="2">
        <v>46227</v>
      </c>
      <c r="K36" s="14"/>
      <c r="L36" s="14"/>
      <c r="M36" s="3">
        <v>1119.1176470588234</v>
      </c>
      <c r="N36" s="4">
        <v>0.19935197774124311</v>
      </c>
      <c r="O36" s="5" t="s">
        <v>156</v>
      </c>
      <c r="P36" s="5" t="s">
        <v>9</v>
      </c>
      <c r="Q36" s="5" t="s">
        <v>15</v>
      </c>
      <c r="R36" s="2">
        <v>46233</v>
      </c>
      <c r="S36" s="5" t="s">
        <v>127</v>
      </c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spans="2:33" x14ac:dyDescent="0.35">
      <c r="B37" s="5" t="s">
        <v>9</v>
      </c>
      <c r="C37" s="1">
        <v>205</v>
      </c>
      <c r="D37" s="5" t="s">
        <v>82</v>
      </c>
      <c r="E37" s="5" t="s">
        <v>31</v>
      </c>
      <c r="F37" s="6">
        <v>23.83</v>
      </c>
      <c r="G37" s="1">
        <v>23.76</v>
      </c>
      <c r="H37" s="2">
        <v>46065</v>
      </c>
      <c r="I37" s="15">
        <f ca="1">TODAY()-Base_Relatório[[#This Row],[Plantio]]</f>
        <v>174</v>
      </c>
      <c r="J37" s="2">
        <v>46212</v>
      </c>
      <c r="K37" s="14"/>
      <c r="L37" s="14"/>
      <c r="M37" s="3">
        <v>1168.75</v>
      </c>
      <c r="N37" s="4">
        <v>0.22802594783183031</v>
      </c>
      <c r="O37" s="5" t="s">
        <v>157</v>
      </c>
      <c r="P37" s="5" t="s">
        <v>9</v>
      </c>
      <c r="Q37" s="5" t="s">
        <v>158</v>
      </c>
      <c r="R37" s="2">
        <v>46216</v>
      </c>
      <c r="S37" s="5" t="s">
        <v>127</v>
      </c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spans="2:33" x14ac:dyDescent="0.35">
      <c r="B38" s="5" t="s">
        <v>9</v>
      </c>
      <c r="C38" s="1">
        <v>205</v>
      </c>
      <c r="D38" s="5" t="s">
        <v>82</v>
      </c>
      <c r="E38" s="5" t="s">
        <v>85</v>
      </c>
      <c r="F38" s="6">
        <v>33.53</v>
      </c>
      <c r="G38" s="1">
        <v>33.53</v>
      </c>
      <c r="H38" s="2">
        <v>46051</v>
      </c>
      <c r="I38" s="15">
        <f ca="1">TODAY()-Base_Relatório[[#This Row],[Plantio]]</f>
        <v>188</v>
      </c>
      <c r="J38" s="2">
        <v>46212</v>
      </c>
      <c r="K38" s="14"/>
      <c r="L38" s="14"/>
      <c r="M38" s="3">
        <v>1109.090909090909</v>
      </c>
      <c r="N38" s="4">
        <v>0.35239274095553313</v>
      </c>
      <c r="O38" s="5" t="s">
        <v>162</v>
      </c>
      <c r="P38" s="5" t="s">
        <v>9</v>
      </c>
      <c r="Q38" s="5" t="s">
        <v>158</v>
      </c>
      <c r="R38" s="2">
        <v>46216</v>
      </c>
      <c r="S38" s="5" t="s">
        <v>127</v>
      </c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spans="2:33" x14ac:dyDescent="0.35">
      <c r="B39" s="5" t="s">
        <v>9</v>
      </c>
      <c r="C39" s="1">
        <v>205</v>
      </c>
      <c r="D39" s="5" t="s">
        <v>82</v>
      </c>
      <c r="E39" s="5" t="s">
        <v>34</v>
      </c>
      <c r="F39" s="6">
        <v>27.07</v>
      </c>
      <c r="G39" s="1">
        <v>26.27</v>
      </c>
      <c r="H39" s="2">
        <v>46053</v>
      </c>
      <c r="I39" s="15">
        <f ca="1">TODAY()-Base_Relatório[[#This Row],[Plantio]]</f>
        <v>186</v>
      </c>
      <c r="J39" s="2">
        <v>46212</v>
      </c>
      <c r="K39" s="14"/>
      <c r="L39" s="14"/>
      <c r="M39" s="3">
        <v>1100</v>
      </c>
      <c r="N39" s="4">
        <v>0.21726426234616333</v>
      </c>
      <c r="O39" s="5" t="s">
        <v>157</v>
      </c>
      <c r="P39" s="5" t="s">
        <v>9</v>
      </c>
      <c r="Q39" s="5" t="s">
        <v>158</v>
      </c>
      <c r="R39" s="2">
        <v>46216</v>
      </c>
      <c r="S39" s="5" t="s">
        <v>127</v>
      </c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spans="2:33" x14ac:dyDescent="0.35">
      <c r="B40" s="5" t="s">
        <v>9</v>
      </c>
      <c r="C40" s="1">
        <v>205</v>
      </c>
      <c r="D40" s="5" t="s">
        <v>82</v>
      </c>
      <c r="E40" s="5" t="s">
        <v>35</v>
      </c>
      <c r="F40" s="6">
        <v>29.73</v>
      </c>
      <c r="G40" s="1">
        <v>28.99</v>
      </c>
      <c r="H40" s="2">
        <v>46057</v>
      </c>
      <c r="I40" s="15">
        <f ca="1">TODAY()-Base_Relatório[[#This Row],[Plantio]]</f>
        <v>182</v>
      </c>
      <c r="J40" s="2">
        <v>46212</v>
      </c>
      <c r="K40" s="14"/>
      <c r="L40" s="14"/>
      <c r="M40" s="3">
        <v>1147.2222222222222</v>
      </c>
      <c r="N40" s="4">
        <v>0.20993760776571369</v>
      </c>
      <c r="O40" s="5" t="s">
        <v>157</v>
      </c>
      <c r="P40" s="5" t="s">
        <v>9</v>
      </c>
      <c r="Q40" s="5" t="s">
        <v>158</v>
      </c>
      <c r="R40" s="2">
        <v>46216</v>
      </c>
      <c r="S40" s="5" t="s">
        <v>127</v>
      </c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spans="2:33" x14ac:dyDescent="0.35">
      <c r="B41" s="5" t="s">
        <v>9</v>
      </c>
      <c r="C41" s="1">
        <v>205</v>
      </c>
      <c r="D41" s="5" t="s">
        <v>82</v>
      </c>
      <c r="E41" s="5" t="s">
        <v>36</v>
      </c>
      <c r="F41" s="6">
        <v>20.399999999999999</v>
      </c>
      <c r="G41" s="1">
        <v>19.27</v>
      </c>
      <c r="H41" s="2">
        <v>46063</v>
      </c>
      <c r="I41" s="15">
        <f ca="1">TODAY()-Base_Relatório[[#This Row],[Plantio]]</f>
        <v>176</v>
      </c>
      <c r="J41" s="2">
        <v>46212</v>
      </c>
      <c r="K41" s="14"/>
      <c r="L41" s="14"/>
      <c r="M41" s="3">
        <v>1132.1428571428571</v>
      </c>
      <c r="N41" s="4">
        <v>0.22791406681640519</v>
      </c>
      <c r="O41" s="5" t="s">
        <v>157</v>
      </c>
      <c r="P41" s="5" t="s">
        <v>9</v>
      </c>
      <c r="Q41" s="5" t="s">
        <v>158</v>
      </c>
      <c r="R41" s="2">
        <v>46216</v>
      </c>
      <c r="S41" s="5" t="s">
        <v>127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spans="2:33" x14ac:dyDescent="0.35">
      <c r="B42" s="5" t="s">
        <v>9</v>
      </c>
      <c r="C42" s="1">
        <v>205</v>
      </c>
      <c r="D42" s="5" t="s">
        <v>82</v>
      </c>
      <c r="E42" s="5" t="s">
        <v>13</v>
      </c>
      <c r="F42" s="6">
        <v>45.95</v>
      </c>
      <c r="G42" s="1">
        <v>45.95</v>
      </c>
      <c r="H42" s="2">
        <v>46091</v>
      </c>
      <c r="I42" s="15">
        <f ca="1">TODAY()-Base_Relatório[[#This Row],[Plantio]]</f>
        <v>148</v>
      </c>
      <c r="J42" s="2">
        <v>46227</v>
      </c>
      <c r="K42" s="14"/>
      <c r="L42" s="14"/>
      <c r="M42" s="3">
        <v>1181.25</v>
      </c>
      <c r="N42" s="4">
        <v>0.11716706993412145</v>
      </c>
      <c r="O42" s="5" t="s">
        <v>160</v>
      </c>
      <c r="P42" s="5" t="s">
        <v>9</v>
      </c>
      <c r="Q42" s="5" t="s">
        <v>15</v>
      </c>
      <c r="R42" s="2">
        <v>46233</v>
      </c>
      <c r="S42" s="5" t="s">
        <v>127</v>
      </c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spans="2:33" x14ac:dyDescent="0.35">
      <c r="B43" s="5" t="s">
        <v>9</v>
      </c>
      <c r="C43" s="1">
        <v>205</v>
      </c>
      <c r="D43" s="5" t="s">
        <v>82</v>
      </c>
      <c r="E43" s="5" t="s">
        <v>55</v>
      </c>
      <c r="F43" s="6">
        <v>50.47</v>
      </c>
      <c r="G43" s="1">
        <v>51.03</v>
      </c>
      <c r="H43" s="2">
        <v>46084</v>
      </c>
      <c r="I43" s="15">
        <f ca="1">TODAY()-Base_Relatório[[#This Row],[Plantio]]</f>
        <v>155</v>
      </c>
      <c r="J43" s="2">
        <v>46227</v>
      </c>
      <c r="K43" s="14"/>
      <c r="L43" s="14"/>
      <c r="M43" s="3">
        <v>1139.4736842105262</v>
      </c>
      <c r="N43" s="4"/>
      <c r="O43" s="5" t="s">
        <v>21</v>
      </c>
      <c r="P43" s="5" t="s">
        <v>9</v>
      </c>
      <c r="Q43" s="5" t="s">
        <v>21</v>
      </c>
      <c r="R43" s="2">
        <v>46233</v>
      </c>
      <c r="S43" s="5" t="s">
        <v>127</v>
      </c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spans="2:33" x14ac:dyDescent="0.35">
      <c r="B44" s="5" t="s">
        <v>9</v>
      </c>
      <c r="C44" s="1">
        <v>205</v>
      </c>
      <c r="D44" s="5" t="s">
        <v>82</v>
      </c>
      <c r="E44" s="5" t="s">
        <v>27</v>
      </c>
      <c r="F44" s="6">
        <v>30.86</v>
      </c>
      <c r="G44" s="1">
        <v>30.59</v>
      </c>
      <c r="H44" s="2">
        <v>46072</v>
      </c>
      <c r="I44" s="15">
        <f ca="1">TODAY()-Base_Relatório[[#This Row],[Plantio]]</f>
        <v>167</v>
      </c>
      <c r="J44" s="2">
        <v>46212</v>
      </c>
      <c r="K44" s="14"/>
      <c r="L44" s="14"/>
      <c r="M44" s="3">
        <v>1190.909090909091</v>
      </c>
      <c r="N44" s="4">
        <v>0.16702136451373101</v>
      </c>
      <c r="O44" s="5" t="s">
        <v>156</v>
      </c>
      <c r="P44" s="5" t="s">
        <v>9</v>
      </c>
      <c r="Q44" s="5" t="s">
        <v>15</v>
      </c>
      <c r="R44" s="2">
        <v>46216</v>
      </c>
      <c r="S44" s="5" t="s">
        <v>127</v>
      </c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spans="2:33" x14ac:dyDescent="0.35">
      <c r="B45" s="5" t="s">
        <v>9</v>
      </c>
      <c r="C45" s="1">
        <v>205</v>
      </c>
      <c r="D45" s="5" t="s">
        <v>82</v>
      </c>
      <c r="E45" s="5" t="s">
        <v>28</v>
      </c>
      <c r="F45" s="6">
        <v>30.54</v>
      </c>
      <c r="G45" s="1">
        <v>30.4</v>
      </c>
      <c r="H45" s="2">
        <v>46071</v>
      </c>
      <c r="I45" s="15">
        <f ca="1">TODAY()-Base_Relatório[[#This Row],[Plantio]]</f>
        <v>168</v>
      </c>
      <c r="J45" s="2">
        <v>46212</v>
      </c>
      <c r="K45" s="14"/>
      <c r="L45" s="14"/>
      <c r="M45" s="3">
        <v>1102.2727272727273</v>
      </c>
      <c r="N45" s="4">
        <v>0.23735496003648743</v>
      </c>
      <c r="O45" s="5" t="s">
        <v>157</v>
      </c>
      <c r="P45" s="5" t="s">
        <v>9</v>
      </c>
      <c r="Q45" s="5" t="s">
        <v>158</v>
      </c>
      <c r="R45" s="2">
        <v>46216</v>
      </c>
      <c r="S45" s="5" t="s">
        <v>127</v>
      </c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spans="2:33" x14ac:dyDescent="0.35">
      <c r="B46" s="5" t="s">
        <v>9</v>
      </c>
      <c r="C46" s="1">
        <v>205</v>
      </c>
      <c r="D46" s="5" t="s">
        <v>82</v>
      </c>
      <c r="E46" s="5" t="s">
        <v>29</v>
      </c>
      <c r="F46" s="6">
        <v>28.5</v>
      </c>
      <c r="G46" s="1">
        <v>27.48</v>
      </c>
      <c r="H46" s="2">
        <v>46072</v>
      </c>
      <c r="I46" s="15">
        <f ca="1">TODAY()-Base_Relatório[[#This Row],[Plantio]]</f>
        <v>167</v>
      </c>
      <c r="J46" s="2">
        <v>46212</v>
      </c>
      <c r="K46" s="14"/>
      <c r="L46" s="14"/>
      <c r="M46" s="3">
        <v>1147.5</v>
      </c>
      <c r="N46" s="4">
        <v>0.24524891463331838</v>
      </c>
      <c r="O46" s="5" t="s">
        <v>157</v>
      </c>
      <c r="P46" s="5" t="s">
        <v>9</v>
      </c>
      <c r="Q46" s="5" t="s">
        <v>158</v>
      </c>
      <c r="R46" s="2">
        <v>46216</v>
      </c>
      <c r="S46" s="5" t="s">
        <v>127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spans="2:33" hidden="1" x14ac:dyDescent="0.35">
      <c r="B47" s="5" t="s">
        <v>9</v>
      </c>
      <c r="C47" s="1">
        <v>214</v>
      </c>
      <c r="D47" s="5" t="s">
        <v>87</v>
      </c>
      <c r="E47" s="5" t="s">
        <v>17</v>
      </c>
      <c r="F47" s="6">
        <v>13.2</v>
      </c>
      <c r="G47" s="1">
        <v>12.82</v>
      </c>
      <c r="H47" s="2">
        <v>46079</v>
      </c>
      <c r="I47" s="15">
        <f ca="1">TODAY()-Base_Relatório[[#This Row],[Plantio]]</f>
        <v>160</v>
      </c>
      <c r="J47" s="2">
        <v>46231</v>
      </c>
      <c r="K47" s="14"/>
      <c r="L47" s="14"/>
      <c r="M47" s="3">
        <v>1170</v>
      </c>
      <c r="N47" s="4">
        <v>0.22052582709134261</v>
      </c>
      <c r="O47" s="5" t="s">
        <v>157</v>
      </c>
      <c r="P47" s="5" t="s">
        <v>9</v>
      </c>
      <c r="Q47" s="5" t="s">
        <v>158</v>
      </c>
      <c r="R47" s="2">
        <v>46233</v>
      </c>
      <c r="S47" s="5" t="s">
        <v>126</v>
      </c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spans="2:33" hidden="1" x14ac:dyDescent="0.35">
      <c r="B48" s="5" t="s">
        <v>9</v>
      </c>
      <c r="C48" s="1">
        <v>214</v>
      </c>
      <c r="D48" s="5" t="s">
        <v>87</v>
      </c>
      <c r="E48" s="5" t="s">
        <v>54</v>
      </c>
      <c r="F48" s="6">
        <v>37.32</v>
      </c>
      <c r="G48" s="1">
        <v>36.39</v>
      </c>
      <c r="H48" s="2">
        <v>46079</v>
      </c>
      <c r="I48" s="15">
        <f ca="1">TODAY()-Base_Relatório[[#This Row],[Plantio]]</f>
        <v>160</v>
      </c>
      <c r="J48" s="2">
        <v>46217</v>
      </c>
      <c r="K48" s="14"/>
      <c r="L48" s="14"/>
      <c r="M48" s="3">
        <v>1121.4285714285713</v>
      </c>
      <c r="N48" s="4">
        <v>0.19387965466960891</v>
      </c>
      <c r="O48" s="5" t="s">
        <v>156</v>
      </c>
      <c r="P48" s="5" t="s">
        <v>9</v>
      </c>
      <c r="Q48" s="5" t="s">
        <v>15</v>
      </c>
      <c r="R48" s="2">
        <v>46230</v>
      </c>
      <c r="S48" s="5" t="s">
        <v>126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spans="2:33" hidden="1" x14ac:dyDescent="0.35">
      <c r="B49" s="5" t="s">
        <v>9</v>
      </c>
      <c r="C49" s="1">
        <v>214</v>
      </c>
      <c r="D49" s="5" t="s">
        <v>87</v>
      </c>
      <c r="E49" s="5" t="s">
        <v>13</v>
      </c>
      <c r="F49" s="6">
        <v>22.22</v>
      </c>
      <c r="G49" s="1">
        <v>22</v>
      </c>
      <c r="H49" s="2">
        <v>46086</v>
      </c>
      <c r="I49" s="15">
        <f ca="1">TODAY()-Base_Relatório[[#This Row],[Plantio]]</f>
        <v>153</v>
      </c>
      <c r="J49" s="2">
        <v>46231</v>
      </c>
      <c r="K49" s="14"/>
      <c r="L49" s="14"/>
      <c r="M49" s="3">
        <v>1021.875</v>
      </c>
      <c r="N49" s="4">
        <v>0.18443488185238541</v>
      </c>
      <c r="O49" s="5" t="s">
        <v>156</v>
      </c>
      <c r="P49" s="5" t="s">
        <v>12</v>
      </c>
      <c r="Q49" s="5" t="s">
        <v>15</v>
      </c>
      <c r="R49" s="2">
        <v>46233</v>
      </c>
      <c r="S49" s="5" t="s">
        <v>126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spans="2:33" hidden="1" x14ac:dyDescent="0.35">
      <c r="B50" s="5" t="s">
        <v>9</v>
      </c>
      <c r="C50" s="1">
        <v>214</v>
      </c>
      <c r="D50" s="5" t="s">
        <v>87</v>
      </c>
      <c r="E50" s="5" t="s">
        <v>55</v>
      </c>
      <c r="F50" s="6">
        <v>23.33</v>
      </c>
      <c r="G50" s="1">
        <v>22.07</v>
      </c>
      <c r="H50" s="2">
        <v>46072</v>
      </c>
      <c r="I50" s="15">
        <f ca="1">TODAY()-Base_Relatório[[#This Row],[Plantio]]</f>
        <v>167</v>
      </c>
      <c r="J50" s="2">
        <v>46231</v>
      </c>
      <c r="K50" s="14"/>
      <c r="L50" s="14"/>
      <c r="M50" s="3">
        <v>1153.125</v>
      </c>
      <c r="N50" s="4">
        <v>0.20762893916651509</v>
      </c>
      <c r="O50" s="5" t="s">
        <v>157</v>
      </c>
      <c r="P50" s="5" t="s">
        <v>9</v>
      </c>
      <c r="Q50" s="5" t="s">
        <v>158</v>
      </c>
      <c r="R50" s="2">
        <v>46233</v>
      </c>
      <c r="S50" s="5" t="s">
        <v>126</v>
      </c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spans="2:33" hidden="1" x14ac:dyDescent="0.35">
      <c r="B51" s="5" t="s">
        <v>9</v>
      </c>
      <c r="C51" s="1">
        <v>214</v>
      </c>
      <c r="D51" s="5" t="s">
        <v>87</v>
      </c>
      <c r="E51" s="5" t="s">
        <v>46</v>
      </c>
      <c r="F51" s="6">
        <v>31.77</v>
      </c>
      <c r="G51" s="1">
        <v>31.12</v>
      </c>
      <c r="H51" s="2">
        <v>46066</v>
      </c>
      <c r="I51" s="15">
        <f ca="1">TODAY()-Base_Relatório[[#This Row],[Plantio]]</f>
        <v>173</v>
      </c>
      <c r="J51" s="2">
        <v>46210</v>
      </c>
      <c r="K51" s="14"/>
      <c r="L51" s="14"/>
      <c r="M51" s="3">
        <v>1129.5454545454545</v>
      </c>
      <c r="N51" s="4">
        <v>0.18233295944544972</v>
      </c>
      <c r="O51" s="5" t="s">
        <v>156</v>
      </c>
      <c r="P51" s="5" t="s">
        <v>9</v>
      </c>
      <c r="Q51" s="5" t="s">
        <v>15</v>
      </c>
      <c r="R51" s="2">
        <v>46216</v>
      </c>
      <c r="S51" s="5" t="s">
        <v>126</v>
      </c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spans="2:33" hidden="1" x14ac:dyDescent="0.35">
      <c r="B52" s="5" t="s">
        <v>9</v>
      </c>
      <c r="C52" s="1">
        <v>214</v>
      </c>
      <c r="D52" s="5" t="s">
        <v>87</v>
      </c>
      <c r="E52" s="5" t="s">
        <v>56</v>
      </c>
      <c r="F52" s="6">
        <v>33.11</v>
      </c>
      <c r="G52" s="1">
        <v>32.659999999999997</v>
      </c>
      <c r="H52" s="2">
        <v>46071</v>
      </c>
      <c r="I52" s="15">
        <f ca="1">TODAY()-Base_Relatório[[#This Row],[Plantio]]</f>
        <v>168</v>
      </c>
      <c r="J52" s="2">
        <v>46210</v>
      </c>
      <c r="K52" s="14"/>
      <c r="L52" s="14"/>
      <c r="M52" s="3">
        <v>1160.4166666666667</v>
      </c>
      <c r="N52" s="4">
        <v>0.18398836252004949</v>
      </c>
      <c r="O52" s="5" t="s">
        <v>156</v>
      </c>
      <c r="P52" s="5" t="s">
        <v>9</v>
      </c>
      <c r="Q52" s="5" t="s">
        <v>15</v>
      </c>
      <c r="R52" s="2">
        <v>46216</v>
      </c>
      <c r="S52" s="5" t="s">
        <v>126</v>
      </c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spans="2:33" hidden="1" x14ac:dyDescent="0.35">
      <c r="B53" s="5" t="s">
        <v>9</v>
      </c>
      <c r="C53" s="1">
        <v>228</v>
      </c>
      <c r="D53" s="5" t="s">
        <v>88</v>
      </c>
      <c r="E53" s="5" t="s">
        <v>90</v>
      </c>
      <c r="F53" s="6">
        <v>42.27</v>
      </c>
      <c r="G53" s="1">
        <v>41.74</v>
      </c>
      <c r="H53" s="2">
        <v>46058</v>
      </c>
      <c r="I53" s="15">
        <f ca="1">TODAY()-Base_Relatório[[#This Row],[Plantio]]</f>
        <v>181</v>
      </c>
      <c r="J53" s="2">
        <v>46206</v>
      </c>
      <c r="K53" s="14"/>
      <c r="L53" s="14"/>
      <c r="M53" s="3">
        <v>1006.6666666666666</v>
      </c>
      <c r="N53" s="4">
        <v>0.15059400927146413</v>
      </c>
      <c r="O53" s="5" t="s">
        <v>156</v>
      </c>
      <c r="P53" s="5" t="s">
        <v>12</v>
      </c>
      <c r="Q53" s="5" t="s">
        <v>15</v>
      </c>
      <c r="R53" s="2">
        <v>46209</v>
      </c>
      <c r="S53" s="5" t="s">
        <v>126</v>
      </c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spans="2:33" hidden="1" x14ac:dyDescent="0.35">
      <c r="B54" s="5" t="s">
        <v>9</v>
      </c>
      <c r="C54" s="1">
        <v>228</v>
      </c>
      <c r="D54" s="5" t="s">
        <v>88</v>
      </c>
      <c r="E54" s="5" t="s">
        <v>62</v>
      </c>
      <c r="F54" s="6">
        <v>45.39</v>
      </c>
      <c r="G54" s="1">
        <v>45.28</v>
      </c>
      <c r="H54" s="2">
        <v>46071</v>
      </c>
      <c r="I54" s="15">
        <f ca="1">TODAY()-Base_Relatório[[#This Row],[Plantio]]</f>
        <v>168</v>
      </c>
      <c r="J54" s="2">
        <v>46206</v>
      </c>
      <c r="K54" s="14"/>
      <c r="L54" s="14"/>
      <c r="M54" s="3">
        <v>1112.5</v>
      </c>
      <c r="N54" s="4">
        <v>0.20625701071100908</v>
      </c>
      <c r="O54" s="5" t="s">
        <v>157</v>
      </c>
      <c r="P54" s="5" t="s">
        <v>9</v>
      </c>
      <c r="Q54" s="5" t="s">
        <v>158</v>
      </c>
      <c r="R54" s="2">
        <v>46209</v>
      </c>
      <c r="S54" s="5" t="s">
        <v>126</v>
      </c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spans="2:33" hidden="1" x14ac:dyDescent="0.35">
      <c r="B55" s="5" t="s">
        <v>9</v>
      </c>
      <c r="C55" s="1">
        <v>228</v>
      </c>
      <c r="D55" s="5" t="s">
        <v>88</v>
      </c>
      <c r="E55" s="5" t="s">
        <v>91</v>
      </c>
      <c r="F55" s="6">
        <v>27.49</v>
      </c>
      <c r="G55" s="1">
        <v>27.69</v>
      </c>
      <c r="H55" s="2">
        <v>46050</v>
      </c>
      <c r="I55" s="15">
        <f ca="1">TODAY()-Base_Relatório[[#This Row],[Plantio]]</f>
        <v>189</v>
      </c>
      <c r="J55" s="2">
        <v>46206</v>
      </c>
      <c r="K55" s="14"/>
      <c r="L55" s="14"/>
      <c r="M55" s="3">
        <v>1025</v>
      </c>
      <c r="N55" s="4">
        <v>0.18826126641204999</v>
      </c>
      <c r="O55" s="5" t="s">
        <v>156</v>
      </c>
      <c r="P55" s="5" t="s">
        <v>12</v>
      </c>
      <c r="Q55" s="5" t="s">
        <v>15</v>
      </c>
      <c r="R55" s="2">
        <v>46209</v>
      </c>
      <c r="S55" s="5" t="s">
        <v>126</v>
      </c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spans="2:33" hidden="1" x14ac:dyDescent="0.35">
      <c r="B56" s="5" t="s">
        <v>9</v>
      </c>
      <c r="C56" s="1">
        <v>228</v>
      </c>
      <c r="D56" s="5" t="s">
        <v>88</v>
      </c>
      <c r="E56" s="5" t="s">
        <v>92</v>
      </c>
      <c r="F56" s="6">
        <v>45.89</v>
      </c>
      <c r="G56" s="1">
        <v>45.63</v>
      </c>
      <c r="H56" s="2">
        <v>46063</v>
      </c>
      <c r="I56" s="15">
        <f ca="1">TODAY()-Base_Relatório[[#This Row],[Plantio]]</f>
        <v>176</v>
      </c>
      <c r="J56" s="2">
        <v>46206</v>
      </c>
      <c r="K56" s="14"/>
      <c r="L56" s="14"/>
      <c r="M56" s="3">
        <v>1133.3333333333333</v>
      </c>
      <c r="N56" s="4">
        <v>0.17149086927463666</v>
      </c>
      <c r="O56" s="5" t="s">
        <v>156</v>
      </c>
      <c r="P56" s="5" t="s">
        <v>9</v>
      </c>
      <c r="Q56" s="5" t="s">
        <v>15</v>
      </c>
      <c r="R56" s="2">
        <v>46209</v>
      </c>
      <c r="S56" s="5" t="s">
        <v>126</v>
      </c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spans="2:33" hidden="1" x14ac:dyDescent="0.35">
      <c r="B57" s="5" t="s">
        <v>9</v>
      </c>
      <c r="C57" s="1">
        <v>228</v>
      </c>
      <c r="D57" s="5" t="s">
        <v>88</v>
      </c>
      <c r="E57" s="5" t="s">
        <v>63</v>
      </c>
      <c r="F57" s="6">
        <v>24.72</v>
      </c>
      <c r="G57" s="1">
        <v>24.93</v>
      </c>
      <c r="H57" s="2">
        <v>46052</v>
      </c>
      <c r="I57" s="15">
        <f ca="1">TODAY()-Base_Relatório[[#This Row],[Plantio]]</f>
        <v>187</v>
      </c>
      <c r="J57" s="2">
        <v>46206</v>
      </c>
      <c r="K57" s="14"/>
      <c r="L57" s="14"/>
      <c r="M57" s="3">
        <v>1114.2857142857142</v>
      </c>
      <c r="N57" s="4">
        <v>0.17320048505211699</v>
      </c>
      <c r="O57" s="5" t="s">
        <v>156</v>
      </c>
      <c r="P57" s="5" t="s">
        <v>9</v>
      </c>
      <c r="Q57" s="5" t="s">
        <v>15</v>
      </c>
      <c r="R57" s="2">
        <v>46209</v>
      </c>
      <c r="S57" s="5" t="s">
        <v>126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spans="2:33" hidden="1" x14ac:dyDescent="0.35">
      <c r="B58" s="5" t="s">
        <v>9</v>
      </c>
      <c r="C58" s="1">
        <v>228</v>
      </c>
      <c r="D58" s="5" t="s">
        <v>88</v>
      </c>
      <c r="E58" s="5" t="s">
        <v>64</v>
      </c>
      <c r="F58" s="6">
        <v>35.770000000000003</v>
      </c>
      <c r="G58" s="1">
        <v>35.67</v>
      </c>
      <c r="H58" s="2">
        <v>46058</v>
      </c>
      <c r="I58" s="15">
        <f ca="1">TODAY()-Base_Relatório[[#This Row],[Plantio]]</f>
        <v>181</v>
      </c>
      <c r="J58" s="2">
        <v>46217</v>
      </c>
      <c r="K58" s="14"/>
      <c r="L58" s="14"/>
      <c r="M58" s="3">
        <v>1068.75</v>
      </c>
      <c r="N58" s="4">
        <v>0.16847571776349687</v>
      </c>
      <c r="O58" s="5" t="s">
        <v>156</v>
      </c>
      <c r="P58" s="5" t="s">
        <v>12</v>
      </c>
      <c r="Q58" s="5" t="s">
        <v>15</v>
      </c>
      <c r="R58" s="2">
        <v>46230</v>
      </c>
      <c r="S58" s="5" t="s">
        <v>126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spans="2:33" hidden="1" x14ac:dyDescent="0.35">
      <c r="B59" s="5" t="s">
        <v>9</v>
      </c>
      <c r="C59" s="1">
        <v>228</v>
      </c>
      <c r="D59" s="5" t="s">
        <v>88</v>
      </c>
      <c r="E59" s="5" t="s">
        <v>93</v>
      </c>
      <c r="F59" s="6">
        <v>31.77</v>
      </c>
      <c r="G59" s="1">
        <v>33.96</v>
      </c>
      <c r="H59" s="2">
        <v>46072</v>
      </c>
      <c r="I59" s="15">
        <f ca="1">TODAY()-Base_Relatório[[#This Row],[Plantio]]</f>
        <v>167</v>
      </c>
      <c r="J59" s="2">
        <v>46231</v>
      </c>
      <c r="K59" s="14"/>
      <c r="L59" s="14"/>
      <c r="M59" s="3">
        <v>1077.0833333333333</v>
      </c>
      <c r="N59" s="4">
        <v>0.25009226206834284</v>
      </c>
      <c r="O59" s="5" t="s">
        <v>159</v>
      </c>
      <c r="P59" s="5" t="s">
        <v>12</v>
      </c>
      <c r="Q59" s="5" t="s">
        <v>158</v>
      </c>
      <c r="R59" s="2">
        <v>46233</v>
      </c>
      <c r="S59" s="5" t="s">
        <v>126</v>
      </c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spans="2:33" hidden="1" x14ac:dyDescent="0.35">
      <c r="B60" s="5" t="s">
        <v>9</v>
      </c>
      <c r="C60" s="1">
        <v>228</v>
      </c>
      <c r="D60" s="5" t="s">
        <v>88</v>
      </c>
      <c r="E60" s="5" t="s">
        <v>94</v>
      </c>
      <c r="F60" s="6">
        <v>55.38</v>
      </c>
      <c r="G60" s="1">
        <v>53.98</v>
      </c>
      <c r="H60" s="2">
        <v>46048</v>
      </c>
      <c r="I60" s="15">
        <f ca="1">TODAY()-Base_Relatório[[#This Row],[Plantio]]</f>
        <v>191</v>
      </c>
      <c r="J60" s="2">
        <v>46182</v>
      </c>
      <c r="K60" s="14"/>
      <c r="L60" s="14"/>
      <c r="M60" s="3">
        <v>1010.5263157894736</v>
      </c>
      <c r="N60" s="4">
        <v>0.19301307350168731</v>
      </c>
      <c r="O60" s="5" t="s">
        <v>156</v>
      </c>
      <c r="P60" s="5" t="s">
        <v>12</v>
      </c>
      <c r="Q60" s="5" t="s">
        <v>15</v>
      </c>
      <c r="R60" s="2">
        <v>46183</v>
      </c>
      <c r="S60" s="5" t="s">
        <v>126</v>
      </c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spans="2:33" hidden="1" x14ac:dyDescent="0.35">
      <c r="B61" s="5" t="s">
        <v>9</v>
      </c>
      <c r="C61" s="1">
        <v>228</v>
      </c>
      <c r="D61" s="5" t="s">
        <v>88</v>
      </c>
      <c r="E61" s="5" t="s">
        <v>95</v>
      </c>
      <c r="F61" s="6">
        <v>20.079999999999998</v>
      </c>
      <c r="G61" s="1">
        <v>18.47</v>
      </c>
      <c r="H61" s="2">
        <v>46050</v>
      </c>
      <c r="I61" s="15">
        <f ca="1">TODAY()-Base_Relatório[[#This Row],[Plantio]]</f>
        <v>189</v>
      </c>
      <c r="J61" s="2">
        <v>46176</v>
      </c>
      <c r="K61" s="14"/>
      <c r="L61" s="14"/>
      <c r="M61" s="3">
        <v>1060.7142857142858</v>
      </c>
      <c r="N61" s="4">
        <v>0.11967145120418565</v>
      </c>
      <c r="O61" s="5" t="s">
        <v>160</v>
      </c>
      <c r="P61" s="5" t="s">
        <v>12</v>
      </c>
      <c r="Q61" s="5" t="s">
        <v>15</v>
      </c>
      <c r="R61" s="2">
        <v>46183</v>
      </c>
      <c r="S61" s="5" t="s">
        <v>126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 spans="2:33" hidden="1" x14ac:dyDescent="0.35">
      <c r="B62" s="5" t="s">
        <v>9</v>
      </c>
      <c r="C62" s="1">
        <v>228</v>
      </c>
      <c r="D62" s="5" t="s">
        <v>88</v>
      </c>
      <c r="E62" s="5" t="s">
        <v>74</v>
      </c>
      <c r="F62" s="6">
        <v>75.36</v>
      </c>
      <c r="G62" s="1">
        <v>72.87</v>
      </c>
      <c r="H62" s="2">
        <v>46042</v>
      </c>
      <c r="I62" s="15">
        <f ca="1">TODAY()-Base_Relatório[[#This Row],[Plantio]]</f>
        <v>197</v>
      </c>
      <c r="J62" s="2">
        <v>46176</v>
      </c>
      <c r="K62" s="14"/>
      <c r="L62" s="14"/>
      <c r="M62" s="3">
        <v>1137.962962962963</v>
      </c>
      <c r="N62" s="4">
        <v>0.11813229604979496</v>
      </c>
      <c r="O62" s="5" t="s">
        <v>160</v>
      </c>
      <c r="P62" s="5" t="s">
        <v>9</v>
      </c>
      <c r="Q62" s="5" t="s">
        <v>15</v>
      </c>
      <c r="R62" s="2">
        <v>46183</v>
      </c>
      <c r="S62" s="5" t="s">
        <v>126</v>
      </c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spans="2:33" hidden="1" x14ac:dyDescent="0.35">
      <c r="B63" s="5" t="s">
        <v>9</v>
      </c>
      <c r="C63" s="1">
        <v>228</v>
      </c>
      <c r="D63" s="5" t="s">
        <v>88</v>
      </c>
      <c r="E63" s="5" t="s">
        <v>96</v>
      </c>
      <c r="F63" s="6">
        <v>28.39</v>
      </c>
      <c r="G63" s="1">
        <v>27.35</v>
      </c>
      <c r="H63" s="2">
        <v>46067</v>
      </c>
      <c r="I63" s="15">
        <f ca="1">TODAY()-Base_Relatório[[#This Row],[Plantio]]</f>
        <v>172</v>
      </c>
      <c r="J63" s="2">
        <v>46206</v>
      </c>
      <c r="K63" s="14"/>
      <c r="L63" s="14"/>
      <c r="M63" s="3">
        <v>1172.5</v>
      </c>
      <c r="N63" s="4">
        <v>0.17236797771258455</v>
      </c>
      <c r="O63" s="5" t="s">
        <v>156</v>
      </c>
      <c r="P63" s="5" t="s">
        <v>9</v>
      </c>
      <c r="Q63" s="5" t="s">
        <v>15</v>
      </c>
      <c r="R63" s="2">
        <v>46209</v>
      </c>
      <c r="S63" s="5" t="s">
        <v>126</v>
      </c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 spans="2:33" hidden="1" x14ac:dyDescent="0.35">
      <c r="B64" s="5" t="s">
        <v>9</v>
      </c>
      <c r="C64" s="1">
        <v>295</v>
      </c>
      <c r="D64" s="5" t="s">
        <v>98</v>
      </c>
      <c r="E64" s="5" t="s">
        <v>11</v>
      </c>
      <c r="F64" s="6">
        <v>52.89</v>
      </c>
      <c r="G64" s="1">
        <v>50.55</v>
      </c>
      <c r="H64" s="2">
        <v>45992</v>
      </c>
      <c r="I64" s="15">
        <f ca="1">TODAY()-Base_Relatório[[#This Row],[Plantio]]</f>
        <v>247</v>
      </c>
      <c r="J64" s="2">
        <v>46231</v>
      </c>
      <c r="K64" s="14"/>
      <c r="L64" s="14"/>
      <c r="M64" s="3">
        <v>1130.5555555555557</v>
      </c>
      <c r="N64" s="4">
        <v>0.14704719581422551</v>
      </c>
      <c r="O64" s="5" t="s">
        <v>160</v>
      </c>
      <c r="P64" s="5" t="s">
        <v>9</v>
      </c>
      <c r="Q64" s="5" t="s">
        <v>15</v>
      </c>
      <c r="R64" s="2">
        <v>46233</v>
      </c>
      <c r="S64" s="5" t="s">
        <v>126</v>
      </c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 spans="2:33" hidden="1" x14ac:dyDescent="0.35">
      <c r="B65" s="5" t="s">
        <v>9</v>
      </c>
      <c r="C65" s="1">
        <v>295</v>
      </c>
      <c r="D65" s="5" t="s">
        <v>98</v>
      </c>
      <c r="E65" s="5" t="s">
        <v>32</v>
      </c>
      <c r="F65" s="6">
        <v>33.909999999999997</v>
      </c>
      <c r="G65" s="1">
        <v>33</v>
      </c>
      <c r="H65" s="2">
        <v>45994</v>
      </c>
      <c r="I65" s="15">
        <f ca="1">TODAY()-Base_Relatório[[#This Row],[Plantio]]</f>
        <v>245</v>
      </c>
      <c r="J65" s="2">
        <v>46231</v>
      </c>
      <c r="K65" s="14"/>
      <c r="L65" s="14"/>
      <c r="M65" s="3">
        <v>1031.8181818181818</v>
      </c>
      <c r="N65" s="4">
        <v>0.14960726595472426</v>
      </c>
      <c r="O65" s="5" t="s">
        <v>160</v>
      </c>
      <c r="P65" s="5" t="s">
        <v>12</v>
      </c>
      <c r="Q65" s="5" t="s">
        <v>15</v>
      </c>
      <c r="R65" s="2">
        <v>46233</v>
      </c>
      <c r="S65" s="5" t="s">
        <v>126</v>
      </c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 spans="2:33" hidden="1" x14ac:dyDescent="0.35">
      <c r="B66" s="5" t="s">
        <v>9</v>
      </c>
      <c r="C66" s="1">
        <v>295</v>
      </c>
      <c r="D66" s="5" t="s">
        <v>98</v>
      </c>
      <c r="E66" s="5" t="s">
        <v>35</v>
      </c>
      <c r="F66" s="6">
        <v>52.54</v>
      </c>
      <c r="G66" s="1">
        <v>52.53</v>
      </c>
      <c r="H66" s="2">
        <v>45999</v>
      </c>
      <c r="I66" s="15">
        <f ca="1">TODAY()-Base_Relatório[[#This Row],[Plantio]]</f>
        <v>240</v>
      </c>
      <c r="J66" s="2">
        <v>46231</v>
      </c>
      <c r="K66" s="14"/>
      <c r="L66" s="14"/>
      <c r="M66" s="3">
        <v>1181.9444444444443</v>
      </c>
      <c r="N66" s="4">
        <v>0.1940722770847022</v>
      </c>
      <c r="O66" s="5" t="s">
        <v>156</v>
      </c>
      <c r="P66" s="5" t="s">
        <v>9</v>
      </c>
      <c r="Q66" s="5" t="s">
        <v>15</v>
      </c>
      <c r="R66" s="2">
        <v>46233</v>
      </c>
      <c r="S66" s="5" t="s">
        <v>126</v>
      </c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 spans="2:33" hidden="1" x14ac:dyDescent="0.35">
      <c r="B67" s="5" t="s">
        <v>9</v>
      </c>
      <c r="C67" s="1">
        <v>295</v>
      </c>
      <c r="D67" s="5" t="s">
        <v>98</v>
      </c>
      <c r="E67" s="5" t="s">
        <v>36</v>
      </c>
      <c r="F67" s="6">
        <v>31.43</v>
      </c>
      <c r="G67" s="1">
        <v>30.99</v>
      </c>
      <c r="H67" s="2">
        <v>46000</v>
      </c>
      <c r="I67" s="15">
        <f ca="1">TODAY()-Base_Relatório[[#This Row],[Plantio]]</f>
        <v>239</v>
      </c>
      <c r="J67" s="2">
        <v>46231</v>
      </c>
      <c r="K67" s="14"/>
      <c r="L67" s="14"/>
      <c r="M67" s="3">
        <v>1122.5</v>
      </c>
      <c r="N67" s="4">
        <v>0.14334629946835054</v>
      </c>
      <c r="O67" s="5" t="s">
        <v>160</v>
      </c>
      <c r="P67" s="5" t="s">
        <v>9</v>
      </c>
      <c r="Q67" s="5" t="s">
        <v>15</v>
      </c>
      <c r="R67" s="2">
        <v>46233</v>
      </c>
      <c r="S67" s="5" t="s">
        <v>126</v>
      </c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 spans="2:33" hidden="1" x14ac:dyDescent="0.35">
      <c r="B68" s="5" t="s">
        <v>9</v>
      </c>
      <c r="C68" s="1">
        <v>295</v>
      </c>
      <c r="D68" s="5" t="s">
        <v>98</v>
      </c>
      <c r="E68" s="5" t="s">
        <v>38</v>
      </c>
      <c r="F68" s="6">
        <v>49.81</v>
      </c>
      <c r="G68" s="1">
        <v>48.52</v>
      </c>
      <c r="H68" s="2">
        <v>46001</v>
      </c>
      <c r="I68" s="15">
        <f ca="1">TODAY()-Base_Relatório[[#This Row],[Plantio]]</f>
        <v>238</v>
      </c>
      <c r="J68" s="2">
        <v>46231</v>
      </c>
      <c r="K68" s="14"/>
      <c r="L68" s="14"/>
      <c r="M68" s="3">
        <v>1091.1764705882354</v>
      </c>
      <c r="N68" s="4">
        <v>0.16951056474580917</v>
      </c>
      <c r="O68" s="5" t="s">
        <v>156</v>
      </c>
      <c r="P68" s="5" t="s">
        <v>12</v>
      </c>
      <c r="Q68" s="5" t="s">
        <v>15</v>
      </c>
      <c r="R68" s="2">
        <v>46233</v>
      </c>
      <c r="S68" s="5" t="s">
        <v>126</v>
      </c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 spans="2:33" hidden="1" x14ac:dyDescent="0.35">
      <c r="B69" s="5" t="s">
        <v>9</v>
      </c>
      <c r="C69" s="1">
        <v>295</v>
      </c>
      <c r="D69" s="5" t="s">
        <v>98</v>
      </c>
      <c r="E69" s="5" t="s">
        <v>39</v>
      </c>
      <c r="F69" s="6">
        <v>46.22</v>
      </c>
      <c r="G69" s="1">
        <v>45.08</v>
      </c>
      <c r="H69" s="2">
        <v>46000</v>
      </c>
      <c r="I69" s="15">
        <f ca="1">TODAY()-Base_Relatório[[#This Row],[Plantio]]</f>
        <v>239</v>
      </c>
      <c r="J69" s="2">
        <v>46231</v>
      </c>
      <c r="K69" s="14"/>
      <c r="L69" s="14"/>
      <c r="M69" s="3">
        <v>1063.3333333333333</v>
      </c>
      <c r="N69" s="4">
        <v>0.14926196822090035</v>
      </c>
      <c r="O69" s="5" t="s">
        <v>160</v>
      </c>
      <c r="P69" s="5" t="s">
        <v>12</v>
      </c>
      <c r="Q69" s="5" t="s">
        <v>15</v>
      </c>
      <c r="R69" s="2">
        <v>46233</v>
      </c>
      <c r="S69" s="5" t="s">
        <v>126</v>
      </c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 spans="2:33" hidden="1" x14ac:dyDescent="0.35">
      <c r="B70" s="5" t="s">
        <v>9</v>
      </c>
      <c r="C70" s="1">
        <v>295</v>
      </c>
      <c r="D70" s="5" t="s">
        <v>98</v>
      </c>
      <c r="E70" s="5" t="s">
        <v>64</v>
      </c>
      <c r="F70" s="6">
        <v>5.04</v>
      </c>
      <c r="G70" s="1">
        <v>5.01</v>
      </c>
      <c r="H70" s="2">
        <v>46028</v>
      </c>
      <c r="I70" s="15">
        <f ca="1">TODAY()-Base_Relatório[[#This Row],[Plantio]]</f>
        <v>211</v>
      </c>
      <c r="J70" s="2">
        <v>46231</v>
      </c>
      <c r="K70" s="14"/>
      <c r="L70" s="14"/>
      <c r="M70" s="3">
        <v>1050</v>
      </c>
      <c r="N70" s="4">
        <v>0.38296564944698963</v>
      </c>
      <c r="O70" s="5" t="s">
        <v>162</v>
      </c>
      <c r="P70" s="5" t="s">
        <v>12</v>
      </c>
      <c r="Q70" s="5" t="s">
        <v>158</v>
      </c>
      <c r="R70" s="2">
        <v>46233</v>
      </c>
      <c r="S70" s="5" t="s">
        <v>126</v>
      </c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 spans="2:33" hidden="1" x14ac:dyDescent="0.35">
      <c r="B71" s="5" t="s">
        <v>9</v>
      </c>
      <c r="C71" s="1">
        <v>295</v>
      </c>
      <c r="D71" s="5" t="s">
        <v>98</v>
      </c>
      <c r="E71" s="5" t="s">
        <v>27</v>
      </c>
      <c r="F71" s="6">
        <v>44.45</v>
      </c>
      <c r="G71" s="1">
        <v>45.1</v>
      </c>
      <c r="H71" s="2">
        <v>45982</v>
      </c>
      <c r="I71" s="15">
        <f ca="1">TODAY()-Base_Relatório[[#This Row],[Plantio]]</f>
        <v>257</v>
      </c>
      <c r="J71" s="2">
        <v>46231</v>
      </c>
      <c r="K71" s="14"/>
      <c r="L71" s="14"/>
      <c r="M71" s="3">
        <v>1040</v>
      </c>
      <c r="N71" s="4">
        <v>0.153446874874378</v>
      </c>
      <c r="O71" s="5" t="s">
        <v>156</v>
      </c>
      <c r="P71" s="5" t="s">
        <v>12</v>
      </c>
      <c r="Q71" s="5" t="s">
        <v>15</v>
      </c>
      <c r="R71" s="2">
        <v>46233</v>
      </c>
      <c r="S71" s="5" t="s">
        <v>126</v>
      </c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 spans="2:33" hidden="1" x14ac:dyDescent="0.35">
      <c r="B72" s="5" t="s">
        <v>9</v>
      </c>
      <c r="C72" s="1">
        <v>295</v>
      </c>
      <c r="D72" s="5" t="s">
        <v>98</v>
      </c>
      <c r="E72" s="5" t="s">
        <v>28</v>
      </c>
      <c r="F72" s="6">
        <v>44.63</v>
      </c>
      <c r="G72" s="1">
        <v>44.4</v>
      </c>
      <c r="H72" s="2">
        <v>45989</v>
      </c>
      <c r="I72" s="15">
        <f ca="1">TODAY()-Base_Relatório[[#This Row],[Plantio]]</f>
        <v>250</v>
      </c>
      <c r="J72" s="2">
        <v>46231</v>
      </c>
      <c r="K72" s="14"/>
      <c r="L72" s="14"/>
      <c r="M72" s="3">
        <v>1120</v>
      </c>
      <c r="N72" s="4">
        <v>0.12831421541931187</v>
      </c>
      <c r="O72" s="5" t="s">
        <v>160</v>
      </c>
      <c r="P72" s="5" t="s">
        <v>9</v>
      </c>
      <c r="Q72" s="5" t="s">
        <v>15</v>
      </c>
      <c r="R72" s="2">
        <v>46233</v>
      </c>
      <c r="S72" s="5" t="s">
        <v>126</v>
      </c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 spans="2:33" hidden="1" x14ac:dyDescent="0.35">
      <c r="B73" s="5" t="s">
        <v>9</v>
      </c>
      <c r="C73" s="1">
        <v>295</v>
      </c>
      <c r="D73" s="5" t="s">
        <v>98</v>
      </c>
      <c r="E73" s="5" t="s">
        <v>29</v>
      </c>
      <c r="F73" s="6">
        <v>23.21</v>
      </c>
      <c r="G73" s="1">
        <v>22.26</v>
      </c>
      <c r="H73" s="2">
        <v>45989</v>
      </c>
      <c r="I73" s="15">
        <f ca="1">TODAY()-Base_Relatório[[#This Row],[Plantio]]</f>
        <v>250</v>
      </c>
      <c r="J73" s="2">
        <v>46231</v>
      </c>
      <c r="K73" s="14"/>
      <c r="L73" s="14"/>
      <c r="M73" s="3">
        <v>1012.5</v>
      </c>
      <c r="N73" s="4">
        <v>0.12606359266499167</v>
      </c>
      <c r="O73" s="5" t="s">
        <v>160</v>
      </c>
      <c r="P73" s="5" t="s">
        <v>12</v>
      </c>
      <c r="Q73" s="5" t="s">
        <v>15</v>
      </c>
      <c r="R73" s="2">
        <v>46233</v>
      </c>
      <c r="S73" s="5" t="s">
        <v>126</v>
      </c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 spans="2:33" hidden="1" x14ac:dyDescent="0.35">
      <c r="B74" s="5" t="s">
        <v>9</v>
      </c>
      <c r="C74" s="1">
        <v>471</v>
      </c>
      <c r="D74" s="5" t="s">
        <v>16</v>
      </c>
      <c r="E74" s="5" t="s">
        <v>17</v>
      </c>
      <c r="F74" s="6">
        <v>36.04</v>
      </c>
      <c r="G74" s="1">
        <v>35.61</v>
      </c>
      <c r="H74" s="2">
        <v>45995</v>
      </c>
      <c r="I74" s="15">
        <f ca="1">TODAY()-Base_Relatório[[#This Row],[Plantio]]</f>
        <v>244</v>
      </c>
      <c r="J74" s="2">
        <v>46154</v>
      </c>
      <c r="K74" s="14"/>
      <c r="L74" s="14"/>
      <c r="M74" s="3">
        <v>1213.4615384615386</v>
      </c>
      <c r="N74" s="4">
        <v>0.13640358665641913</v>
      </c>
      <c r="O74" s="5" t="s">
        <v>160</v>
      </c>
      <c r="P74" s="5" t="s">
        <v>18</v>
      </c>
      <c r="Q74" s="5" t="s">
        <v>15</v>
      </c>
      <c r="R74" s="2">
        <v>46183</v>
      </c>
      <c r="S74" s="5" t="s">
        <v>126</v>
      </c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 spans="2:33" hidden="1" x14ac:dyDescent="0.35">
      <c r="B75" s="5" t="s">
        <v>9</v>
      </c>
      <c r="C75" s="1">
        <v>471</v>
      </c>
      <c r="D75" s="5" t="s">
        <v>16</v>
      </c>
      <c r="E75" s="5" t="s">
        <v>20</v>
      </c>
      <c r="F75" s="6">
        <v>17.32</v>
      </c>
      <c r="G75" s="1">
        <v>17.03</v>
      </c>
      <c r="H75" s="2">
        <v>46007</v>
      </c>
      <c r="I75" s="15">
        <f ca="1">TODAY()-Base_Relatório[[#This Row],[Plantio]]</f>
        <v>232</v>
      </c>
      <c r="J75" s="2">
        <v>46217</v>
      </c>
      <c r="K75" s="14"/>
      <c r="L75" s="14"/>
      <c r="M75" s="3">
        <v>1116.6666666666667</v>
      </c>
      <c r="N75" s="4">
        <v>0.25201513258180197</v>
      </c>
      <c r="O75" s="5" t="s">
        <v>159</v>
      </c>
      <c r="P75" s="5" t="s">
        <v>9</v>
      </c>
      <c r="Q75" s="5" t="s">
        <v>158</v>
      </c>
      <c r="R75" s="2">
        <v>46233</v>
      </c>
      <c r="S75" s="5" t="s">
        <v>126</v>
      </c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 spans="2:33" hidden="1" x14ac:dyDescent="0.35">
      <c r="B76" s="5" t="s">
        <v>9</v>
      </c>
      <c r="C76" s="1">
        <v>471</v>
      </c>
      <c r="D76" s="5" t="s">
        <v>16</v>
      </c>
      <c r="E76" s="5" t="s">
        <v>54</v>
      </c>
      <c r="F76" s="6">
        <v>41.35</v>
      </c>
      <c r="G76" s="1">
        <v>41.03</v>
      </c>
      <c r="H76" s="2">
        <v>45999</v>
      </c>
      <c r="I76" s="15">
        <f ca="1">TODAY()-Base_Relatório[[#This Row],[Plantio]]</f>
        <v>240</v>
      </c>
      <c r="J76" s="2">
        <v>46217</v>
      </c>
      <c r="K76" s="14"/>
      <c r="L76" s="14"/>
      <c r="M76" s="3">
        <v>1186.5384615384614</v>
      </c>
      <c r="N76" s="4">
        <v>0.20947625021935201</v>
      </c>
      <c r="O76" s="5" t="s">
        <v>157</v>
      </c>
      <c r="P76" s="5" t="s">
        <v>9</v>
      </c>
      <c r="Q76" s="5" t="s">
        <v>158</v>
      </c>
      <c r="R76" s="2">
        <v>46233</v>
      </c>
      <c r="S76" s="5" t="s">
        <v>126</v>
      </c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 spans="2:33" hidden="1" x14ac:dyDescent="0.35">
      <c r="B77" s="5" t="s">
        <v>9</v>
      </c>
      <c r="C77" s="1">
        <v>471</v>
      </c>
      <c r="D77" s="5" t="s">
        <v>16</v>
      </c>
      <c r="E77" s="5" t="s">
        <v>13</v>
      </c>
      <c r="F77" s="6">
        <v>50.31</v>
      </c>
      <c r="G77" s="1">
        <v>50.1</v>
      </c>
      <c r="H77" s="2">
        <v>46000</v>
      </c>
      <c r="I77" s="15">
        <f ca="1">TODAY()-Base_Relatório[[#This Row],[Plantio]]</f>
        <v>239</v>
      </c>
      <c r="J77" s="2">
        <v>46217</v>
      </c>
      <c r="K77" s="14"/>
      <c r="L77" s="14"/>
      <c r="M77" s="3">
        <v>1185.2941176470588</v>
      </c>
      <c r="N77" s="4">
        <v>0.11590921806304628</v>
      </c>
      <c r="O77" s="5" t="s">
        <v>160</v>
      </c>
      <c r="P77" s="5" t="s">
        <v>9</v>
      </c>
      <c r="Q77" s="5" t="s">
        <v>15</v>
      </c>
      <c r="R77" s="2">
        <v>46233</v>
      </c>
      <c r="S77" s="5" t="s">
        <v>126</v>
      </c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spans="2:33" hidden="1" x14ac:dyDescent="0.35">
      <c r="B78" s="5" t="s">
        <v>9</v>
      </c>
      <c r="C78" s="1">
        <v>471</v>
      </c>
      <c r="D78" s="5" t="s">
        <v>16</v>
      </c>
      <c r="E78" s="5" t="s">
        <v>55</v>
      </c>
      <c r="F78" s="6">
        <v>51.58</v>
      </c>
      <c r="G78" s="1">
        <v>51.2</v>
      </c>
      <c r="H78" s="2">
        <v>46007</v>
      </c>
      <c r="I78" s="15">
        <f ca="1">TODAY()-Base_Relatório[[#This Row],[Plantio]]</f>
        <v>232</v>
      </c>
      <c r="J78" s="2">
        <v>46217</v>
      </c>
      <c r="K78" s="14"/>
      <c r="L78" s="14"/>
      <c r="M78" s="3">
        <v>1113.2352941176471</v>
      </c>
      <c r="N78" s="4">
        <v>0.12713122737592253</v>
      </c>
      <c r="O78" s="5" t="s">
        <v>160</v>
      </c>
      <c r="P78" s="5" t="s">
        <v>9</v>
      </c>
      <c r="Q78" s="5" t="s">
        <v>15</v>
      </c>
      <c r="R78" s="2">
        <v>46233</v>
      </c>
      <c r="S78" s="5" t="s">
        <v>126</v>
      </c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 spans="2:33" hidden="1" x14ac:dyDescent="0.35">
      <c r="B79" s="5" t="s">
        <v>9</v>
      </c>
      <c r="C79" s="1">
        <v>489</v>
      </c>
      <c r="D79" s="5" t="s">
        <v>19</v>
      </c>
      <c r="E79" s="5" t="s">
        <v>17</v>
      </c>
      <c r="F79" s="6">
        <v>29.678511</v>
      </c>
      <c r="G79" s="1">
        <v>28.61</v>
      </c>
      <c r="H79" s="2">
        <v>46056</v>
      </c>
      <c r="I79" s="15">
        <f ca="1">TODAY()-Base_Relatório[[#This Row],[Plantio]]</f>
        <v>183</v>
      </c>
      <c r="J79" s="2">
        <v>46196</v>
      </c>
      <c r="K79" s="14"/>
      <c r="L79" s="14"/>
      <c r="M79" s="3">
        <v>1097.5</v>
      </c>
      <c r="N79" s="4">
        <v>0.2412887604221757</v>
      </c>
      <c r="O79" s="5" t="s">
        <v>157</v>
      </c>
      <c r="P79" s="5" t="s">
        <v>12</v>
      </c>
      <c r="Q79" s="5" t="s">
        <v>158</v>
      </c>
      <c r="R79" s="2">
        <v>46197</v>
      </c>
      <c r="S79" s="5" t="s">
        <v>126</v>
      </c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 spans="2:33" hidden="1" x14ac:dyDescent="0.35">
      <c r="B80" s="5" t="s">
        <v>9</v>
      </c>
      <c r="C80" s="1">
        <v>489</v>
      </c>
      <c r="D80" s="5" t="s">
        <v>19</v>
      </c>
      <c r="E80" s="5" t="s">
        <v>20</v>
      </c>
      <c r="F80" s="6">
        <v>49.53</v>
      </c>
      <c r="G80" s="1">
        <v>49.43</v>
      </c>
      <c r="H80" s="2">
        <v>46029</v>
      </c>
      <c r="I80" s="15">
        <f ca="1">TODAY()-Base_Relatório[[#This Row],[Plantio]]</f>
        <v>210</v>
      </c>
      <c r="J80" s="2">
        <v>46169</v>
      </c>
      <c r="K80" s="14"/>
      <c r="L80" s="14"/>
      <c r="M80" s="3">
        <v>1060.2941176470588</v>
      </c>
      <c r="N80" s="4">
        <v>0.18354484820428887</v>
      </c>
      <c r="O80" s="5" t="s">
        <v>156</v>
      </c>
      <c r="P80" s="5" t="s">
        <v>12</v>
      </c>
      <c r="Q80" s="5" t="s">
        <v>15</v>
      </c>
      <c r="R80" s="2">
        <v>46183</v>
      </c>
      <c r="S80" s="5" t="s">
        <v>126</v>
      </c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 spans="2:33" hidden="1" x14ac:dyDescent="0.35">
      <c r="B81" s="5" t="s">
        <v>9</v>
      </c>
      <c r="C81" s="1">
        <v>489</v>
      </c>
      <c r="D81" s="5" t="s">
        <v>19</v>
      </c>
      <c r="E81" s="5" t="s">
        <v>22</v>
      </c>
      <c r="F81" s="6">
        <v>43.22</v>
      </c>
      <c r="G81" s="1">
        <v>43.23</v>
      </c>
      <c r="H81" s="2">
        <v>46028</v>
      </c>
      <c r="I81" s="15">
        <f ca="1">TODAY()-Base_Relatório[[#This Row],[Plantio]]</f>
        <v>211</v>
      </c>
      <c r="J81" s="2">
        <v>46169</v>
      </c>
      <c r="K81" s="14"/>
      <c r="L81" s="14"/>
      <c r="M81" s="3">
        <v>1105</v>
      </c>
      <c r="N81" s="4">
        <v>0.18755564235994329</v>
      </c>
      <c r="O81" s="5" t="s">
        <v>156</v>
      </c>
      <c r="P81" s="5" t="s">
        <v>9</v>
      </c>
      <c r="Q81" s="5" t="s">
        <v>15</v>
      </c>
      <c r="R81" s="2">
        <v>46183</v>
      </c>
      <c r="S81" s="5" t="s">
        <v>126</v>
      </c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 spans="2:33" hidden="1" x14ac:dyDescent="0.35">
      <c r="B82" s="5" t="s">
        <v>9</v>
      </c>
      <c r="C82" s="1">
        <v>489</v>
      </c>
      <c r="D82" s="5" t="s">
        <v>19</v>
      </c>
      <c r="E82" s="5" t="s">
        <v>23</v>
      </c>
      <c r="F82" s="6">
        <v>54.92</v>
      </c>
      <c r="G82" s="1">
        <v>54.83</v>
      </c>
      <c r="H82" s="2">
        <v>46036</v>
      </c>
      <c r="I82" s="15">
        <f ca="1">TODAY()-Base_Relatório[[#This Row],[Plantio]]</f>
        <v>203</v>
      </c>
      <c r="J82" s="2">
        <v>46169</v>
      </c>
      <c r="K82" s="14"/>
      <c r="L82" s="14"/>
      <c r="M82" s="3">
        <v>1021.0526315789474</v>
      </c>
      <c r="N82" s="4">
        <v>0.1678801029128752</v>
      </c>
      <c r="O82" s="5" t="s">
        <v>156</v>
      </c>
      <c r="P82" s="5" t="s">
        <v>12</v>
      </c>
      <c r="Q82" s="5" t="s">
        <v>15</v>
      </c>
      <c r="R82" s="2">
        <v>46183</v>
      </c>
      <c r="S82" s="5" t="s">
        <v>126</v>
      </c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 spans="2:33" hidden="1" x14ac:dyDescent="0.35">
      <c r="B83" s="5" t="s">
        <v>9</v>
      </c>
      <c r="C83" s="1">
        <v>489</v>
      </c>
      <c r="D83" s="5" t="s">
        <v>19</v>
      </c>
      <c r="E83" s="5" t="s">
        <v>24</v>
      </c>
      <c r="F83" s="6">
        <v>39.729999999999997</v>
      </c>
      <c r="G83" s="1">
        <v>38.83</v>
      </c>
      <c r="H83" s="2">
        <v>46035</v>
      </c>
      <c r="I83" s="15">
        <f ca="1">TODAY()-Base_Relatório[[#This Row],[Plantio]]</f>
        <v>204</v>
      </c>
      <c r="J83" s="2">
        <v>46169</v>
      </c>
      <c r="K83" s="14"/>
      <c r="L83" s="14"/>
      <c r="M83" s="3">
        <v>1094.6428571428571</v>
      </c>
      <c r="N83" s="4">
        <v>0.17050179832694742</v>
      </c>
      <c r="O83" s="5" t="s">
        <v>156</v>
      </c>
      <c r="P83" s="5" t="s">
        <v>12</v>
      </c>
      <c r="Q83" s="5" t="s">
        <v>15</v>
      </c>
      <c r="R83" s="2">
        <v>46183</v>
      </c>
      <c r="S83" s="5" t="s">
        <v>126</v>
      </c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 spans="2:33" hidden="1" x14ac:dyDescent="0.35">
      <c r="B84" s="5" t="s">
        <v>9</v>
      </c>
      <c r="C84" s="1">
        <v>489</v>
      </c>
      <c r="D84" s="5" t="s">
        <v>19</v>
      </c>
      <c r="E84" s="5" t="s">
        <v>25</v>
      </c>
      <c r="F84" s="6">
        <v>48.87</v>
      </c>
      <c r="G84" s="1">
        <v>45.06</v>
      </c>
      <c r="H84" s="2">
        <v>46049</v>
      </c>
      <c r="I84" s="15">
        <f ca="1">TODAY()-Base_Relatório[[#This Row],[Plantio]]</f>
        <v>190</v>
      </c>
      <c r="J84" s="2">
        <v>46169</v>
      </c>
      <c r="K84" s="14"/>
      <c r="L84" s="14"/>
      <c r="M84" s="3">
        <v>1013.3333333333334</v>
      </c>
      <c r="N84" s="4">
        <v>0.20879700482180488</v>
      </c>
      <c r="O84" s="5" t="s">
        <v>157</v>
      </c>
      <c r="P84" s="5" t="s">
        <v>12</v>
      </c>
      <c r="Q84" s="5" t="s">
        <v>158</v>
      </c>
      <c r="R84" s="2">
        <v>46183</v>
      </c>
      <c r="S84" s="5" t="s">
        <v>126</v>
      </c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 spans="2:33" hidden="1" x14ac:dyDescent="0.35">
      <c r="B85" s="5" t="s">
        <v>9</v>
      </c>
      <c r="C85" s="1">
        <v>489</v>
      </c>
      <c r="D85" s="5" t="s">
        <v>19</v>
      </c>
      <c r="E85" s="5" t="s">
        <v>11</v>
      </c>
      <c r="F85" s="6">
        <v>41.88</v>
      </c>
      <c r="G85" s="1">
        <v>41.14</v>
      </c>
      <c r="H85" s="2">
        <v>46042</v>
      </c>
      <c r="I85" s="15">
        <f ca="1">TODAY()-Base_Relatório[[#This Row],[Plantio]]</f>
        <v>197</v>
      </c>
      <c r="J85" s="2">
        <v>46182</v>
      </c>
      <c r="K85" s="14"/>
      <c r="L85" s="14"/>
      <c r="M85" s="3">
        <v>973.33333333333337</v>
      </c>
      <c r="N85" s="4">
        <v>0.19192067625030587</v>
      </c>
      <c r="O85" s="5" t="s">
        <v>156</v>
      </c>
      <c r="P85" s="5" t="s">
        <v>12</v>
      </c>
      <c r="Q85" s="5" t="s">
        <v>15</v>
      </c>
      <c r="R85" s="2">
        <v>46183</v>
      </c>
      <c r="S85" s="5" t="s">
        <v>126</v>
      </c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 spans="2:33" hidden="1" x14ac:dyDescent="0.35">
      <c r="B86" s="5" t="s">
        <v>9</v>
      </c>
      <c r="C86" s="1">
        <v>489</v>
      </c>
      <c r="D86" s="5" t="s">
        <v>19</v>
      </c>
      <c r="E86" s="5" t="s">
        <v>32</v>
      </c>
      <c r="F86" s="6">
        <v>45.03</v>
      </c>
      <c r="G86" s="1">
        <v>43.38</v>
      </c>
      <c r="H86" s="2">
        <v>46036</v>
      </c>
      <c r="I86" s="15">
        <f ca="1">TODAY()-Base_Relatório[[#This Row],[Plantio]]</f>
        <v>203</v>
      </c>
      <c r="J86" s="2">
        <v>46182</v>
      </c>
      <c r="K86" s="14"/>
      <c r="L86" s="14"/>
      <c r="M86" s="3">
        <v>1005</v>
      </c>
      <c r="N86" s="4">
        <v>0.22215205188301049</v>
      </c>
      <c r="O86" s="5" t="s">
        <v>157</v>
      </c>
      <c r="P86" s="5" t="s">
        <v>12</v>
      </c>
      <c r="Q86" s="5" t="s">
        <v>158</v>
      </c>
      <c r="R86" s="2">
        <v>46183</v>
      </c>
      <c r="S86" s="5" t="s">
        <v>126</v>
      </c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 spans="2:33" hidden="1" x14ac:dyDescent="0.35">
      <c r="B87" s="5" t="s">
        <v>9</v>
      </c>
      <c r="C87" s="1">
        <v>489</v>
      </c>
      <c r="D87" s="5" t="s">
        <v>19</v>
      </c>
      <c r="E87" s="5" t="s">
        <v>26</v>
      </c>
      <c r="F87" s="6">
        <v>36.409999999999997</v>
      </c>
      <c r="G87" s="1">
        <v>36.03</v>
      </c>
      <c r="H87" s="2">
        <v>46039</v>
      </c>
      <c r="I87" s="15">
        <f ca="1">TODAY()-Base_Relatório[[#This Row],[Plantio]]</f>
        <v>200</v>
      </c>
      <c r="J87" s="2">
        <v>46169</v>
      </c>
      <c r="K87" s="14"/>
      <c r="L87" s="14"/>
      <c r="M87" s="3">
        <v>1036.5384615384614</v>
      </c>
      <c r="N87" s="4">
        <v>0.15317632394383379</v>
      </c>
      <c r="O87" s="5" t="s">
        <v>156</v>
      </c>
      <c r="P87" s="5" t="s">
        <v>12</v>
      </c>
      <c r="Q87" s="5" t="s">
        <v>15</v>
      </c>
      <c r="R87" s="2">
        <v>46183</v>
      </c>
      <c r="S87" s="5" t="s">
        <v>126</v>
      </c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 spans="2:33" hidden="1" x14ac:dyDescent="0.35">
      <c r="B88" s="5" t="s">
        <v>9</v>
      </c>
      <c r="C88" s="1">
        <v>489</v>
      </c>
      <c r="D88" s="5" t="s">
        <v>19</v>
      </c>
      <c r="E88" s="5" t="s">
        <v>49</v>
      </c>
      <c r="F88" s="6">
        <v>47.47</v>
      </c>
      <c r="G88" s="1">
        <v>46.44</v>
      </c>
      <c r="H88" s="2">
        <v>46044</v>
      </c>
      <c r="I88" s="15">
        <f ca="1">TODAY()-Base_Relatório[[#This Row],[Plantio]]</f>
        <v>195</v>
      </c>
      <c r="J88" s="2">
        <v>46182</v>
      </c>
      <c r="K88" s="14"/>
      <c r="L88" s="14"/>
      <c r="M88" s="3">
        <v>1048.5294117647059</v>
      </c>
      <c r="N88" s="4">
        <v>0.16733211881584206</v>
      </c>
      <c r="O88" s="5" t="s">
        <v>156</v>
      </c>
      <c r="P88" s="5" t="s">
        <v>12</v>
      </c>
      <c r="Q88" s="5" t="s">
        <v>15</v>
      </c>
      <c r="R88" s="2">
        <v>46183</v>
      </c>
      <c r="S88" s="5" t="s">
        <v>126</v>
      </c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spans="2:33" hidden="1" x14ac:dyDescent="0.35">
      <c r="B89" s="5" t="s">
        <v>9</v>
      </c>
      <c r="C89" s="1">
        <v>489</v>
      </c>
      <c r="D89" s="5" t="s">
        <v>19</v>
      </c>
      <c r="E89" s="5" t="s">
        <v>53</v>
      </c>
      <c r="F89" s="6">
        <v>23.480070000000001</v>
      </c>
      <c r="G89" s="1">
        <v>23.23</v>
      </c>
      <c r="H89" s="2">
        <v>46056</v>
      </c>
      <c r="I89" s="15">
        <f ca="1">TODAY()-Base_Relatório[[#This Row],[Plantio]]</f>
        <v>183</v>
      </c>
      <c r="J89" s="2">
        <v>46196</v>
      </c>
      <c r="K89" s="14"/>
      <c r="L89" s="14"/>
      <c r="M89" s="3">
        <v>1109.375</v>
      </c>
      <c r="N89" s="4">
        <v>0.21858841687224348</v>
      </c>
      <c r="O89" s="5" t="s">
        <v>157</v>
      </c>
      <c r="P89" s="5" t="s">
        <v>9</v>
      </c>
      <c r="Q89" s="5" t="s">
        <v>158</v>
      </c>
      <c r="R89" s="2">
        <v>46197</v>
      </c>
      <c r="S89" s="5" t="s">
        <v>126</v>
      </c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 spans="2:33" hidden="1" x14ac:dyDescent="0.35">
      <c r="B90" s="5" t="s">
        <v>9</v>
      </c>
      <c r="C90" s="1">
        <v>489</v>
      </c>
      <c r="D90" s="5" t="s">
        <v>19</v>
      </c>
      <c r="E90" s="5" t="s">
        <v>54</v>
      </c>
      <c r="F90" s="6">
        <v>35.237575</v>
      </c>
      <c r="G90" s="1">
        <v>34.89</v>
      </c>
      <c r="H90" s="2">
        <v>46058</v>
      </c>
      <c r="I90" s="15">
        <f ca="1">TODAY()-Base_Relatório[[#This Row],[Plantio]]</f>
        <v>181</v>
      </c>
      <c r="J90" s="2">
        <v>46196</v>
      </c>
      <c r="K90" s="14"/>
      <c r="L90" s="14"/>
      <c r="M90" s="3">
        <v>990.38461538461536</v>
      </c>
      <c r="N90" s="4">
        <v>0.33384509951584052</v>
      </c>
      <c r="O90" s="5" t="s">
        <v>161</v>
      </c>
      <c r="P90" s="5" t="s">
        <v>12</v>
      </c>
      <c r="Q90" s="5" t="s">
        <v>158</v>
      </c>
      <c r="R90" s="2"/>
      <c r="S90" s="5" t="s">
        <v>126</v>
      </c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 spans="2:33" hidden="1" x14ac:dyDescent="0.35">
      <c r="B91" s="5" t="s">
        <v>9</v>
      </c>
      <c r="C91" s="1">
        <v>489</v>
      </c>
      <c r="D91" s="5" t="s">
        <v>19</v>
      </c>
      <c r="E91" s="5" t="s">
        <v>57</v>
      </c>
      <c r="F91" s="6">
        <v>44.84</v>
      </c>
      <c r="G91" s="1">
        <v>42.48</v>
      </c>
      <c r="H91" s="2">
        <v>46052</v>
      </c>
      <c r="I91" s="15">
        <f ca="1">TODAY()-Base_Relatório[[#This Row],[Plantio]]</f>
        <v>187</v>
      </c>
      <c r="J91" s="2">
        <v>46182</v>
      </c>
      <c r="K91" s="14"/>
      <c r="L91" s="14"/>
      <c r="M91" s="3">
        <v>1010.9375</v>
      </c>
      <c r="N91" s="4">
        <v>0.17272069462866152</v>
      </c>
      <c r="O91" s="5" t="s">
        <v>156</v>
      </c>
      <c r="P91" s="5" t="s">
        <v>12</v>
      </c>
      <c r="Q91" s="5" t="s">
        <v>15</v>
      </c>
      <c r="R91" s="2">
        <v>46183</v>
      </c>
      <c r="S91" s="5" t="s">
        <v>126</v>
      </c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 spans="2:33" hidden="1" x14ac:dyDescent="0.35">
      <c r="B92" s="5" t="s">
        <v>9</v>
      </c>
      <c r="C92" s="1">
        <v>489</v>
      </c>
      <c r="D92" s="5" t="s">
        <v>19</v>
      </c>
      <c r="E92" s="5" t="s">
        <v>84</v>
      </c>
      <c r="F92" s="6">
        <v>48.74</v>
      </c>
      <c r="G92" s="1">
        <v>48.6</v>
      </c>
      <c r="H92" s="2">
        <v>46042</v>
      </c>
      <c r="I92" s="15">
        <f ca="1">TODAY()-Base_Relatório[[#This Row],[Plantio]]</f>
        <v>197</v>
      </c>
      <c r="J92" s="2">
        <v>46196</v>
      </c>
      <c r="K92" s="14"/>
      <c r="L92" s="14"/>
      <c r="M92" s="3">
        <v>1086.7647058823529</v>
      </c>
      <c r="N92" s="4">
        <v>0.19545478287950552</v>
      </c>
      <c r="O92" s="5" t="s">
        <v>156</v>
      </c>
      <c r="P92" s="5" t="s">
        <v>12</v>
      </c>
      <c r="Q92" s="5" t="s">
        <v>15</v>
      </c>
      <c r="R92" s="2">
        <v>46197</v>
      </c>
      <c r="S92" s="5" t="s">
        <v>126</v>
      </c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 spans="2:33" hidden="1" x14ac:dyDescent="0.35">
      <c r="B93" s="5" t="s">
        <v>9</v>
      </c>
      <c r="C93" s="1">
        <v>489</v>
      </c>
      <c r="D93" s="5" t="s">
        <v>19</v>
      </c>
      <c r="E93" s="5" t="s">
        <v>33</v>
      </c>
      <c r="F93" s="6">
        <v>51.42</v>
      </c>
      <c r="G93" s="1">
        <v>46.02</v>
      </c>
      <c r="H93" s="2">
        <v>46044</v>
      </c>
      <c r="I93" s="15">
        <f ca="1">TODAY()-Base_Relatório[[#This Row],[Plantio]]</f>
        <v>195</v>
      </c>
      <c r="J93" s="2">
        <v>46196</v>
      </c>
      <c r="K93" s="14"/>
      <c r="L93" s="14"/>
      <c r="M93" s="3">
        <v>1082.3529411764705</v>
      </c>
      <c r="N93" s="4">
        <v>0.17111844780082022</v>
      </c>
      <c r="O93" s="5" t="s">
        <v>156</v>
      </c>
      <c r="P93" s="5" t="s">
        <v>12</v>
      </c>
      <c r="Q93" s="5" t="s">
        <v>15</v>
      </c>
      <c r="R93" s="2">
        <v>46197</v>
      </c>
      <c r="S93" s="5" t="s">
        <v>126</v>
      </c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 spans="2:33" hidden="1" x14ac:dyDescent="0.35">
      <c r="B94" s="5" t="s">
        <v>9</v>
      </c>
      <c r="C94" s="1">
        <v>489</v>
      </c>
      <c r="D94" s="5" t="s">
        <v>19</v>
      </c>
      <c r="E94" s="5" t="s">
        <v>34</v>
      </c>
      <c r="F94" s="6">
        <v>48.14</v>
      </c>
      <c r="G94" s="1">
        <v>45.24</v>
      </c>
      <c r="H94" s="2">
        <v>46049</v>
      </c>
      <c r="I94" s="15">
        <f ca="1">TODAY()-Base_Relatório[[#This Row],[Plantio]]</f>
        <v>190</v>
      </c>
      <c r="J94" s="2">
        <v>46196</v>
      </c>
      <c r="K94" s="14"/>
      <c r="L94" s="14"/>
      <c r="M94" s="3">
        <v>1093.3333333333333</v>
      </c>
      <c r="N94" s="4">
        <v>0.23174448364054206</v>
      </c>
      <c r="O94" s="5" t="s">
        <v>157</v>
      </c>
      <c r="P94" s="5" t="s">
        <v>12</v>
      </c>
      <c r="Q94" s="5" t="s">
        <v>158</v>
      </c>
      <c r="R94" s="2">
        <v>46197</v>
      </c>
      <c r="S94" s="5" t="s">
        <v>126</v>
      </c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 spans="2:33" hidden="1" x14ac:dyDescent="0.35">
      <c r="B95" s="5" t="s">
        <v>9</v>
      </c>
      <c r="C95" s="1">
        <v>489</v>
      </c>
      <c r="D95" s="5" t="s">
        <v>19</v>
      </c>
      <c r="E95" s="5" t="s">
        <v>35</v>
      </c>
      <c r="F95" s="6">
        <v>37.72</v>
      </c>
      <c r="G95" s="1">
        <v>37.520000000000003</v>
      </c>
      <c r="H95" s="2">
        <v>46050</v>
      </c>
      <c r="I95" s="15">
        <f ca="1">TODAY()-Base_Relatório[[#This Row],[Plantio]]</f>
        <v>189</v>
      </c>
      <c r="J95" s="2">
        <v>46196</v>
      </c>
      <c r="K95" s="14"/>
      <c r="L95" s="14"/>
      <c r="M95" s="3">
        <v>1044.2307692307693</v>
      </c>
      <c r="N95" s="4">
        <v>0.23911844081681566</v>
      </c>
      <c r="O95" s="5" t="s">
        <v>157</v>
      </c>
      <c r="P95" s="5" t="s">
        <v>12</v>
      </c>
      <c r="Q95" s="5" t="s">
        <v>158</v>
      </c>
      <c r="R95" s="2">
        <v>46197</v>
      </c>
      <c r="S95" s="5" t="s">
        <v>126</v>
      </c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 spans="2:33" hidden="1" x14ac:dyDescent="0.35">
      <c r="B96" s="5" t="s">
        <v>9</v>
      </c>
      <c r="C96" s="1">
        <v>489</v>
      </c>
      <c r="D96" s="5" t="s">
        <v>19</v>
      </c>
      <c r="E96" s="5" t="s">
        <v>36</v>
      </c>
      <c r="F96" s="6">
        <v>48.75</v>
      </c>
      <c r="G96" s="1">
        <v>48.25</v>
      </c>
      <c r="H96" s="2">
        <v>46050</v>
      </c>
      <c r="I96" s="15">
        <f ca="1">TODAY()-Base_Relatório[[#This Row],[Plantio]]</f>
        <v>189</v>
      </c>
      <c r="J96" s="2">
        <v>46196</v>
      </c>
      <c r="K96" s="14"/>
      <c r="L96" s="14"/>
      <c r="M96" s="3">
        <v>992.64705882352939</v>
      </c>
      <c r="N96" s="4">
        <v>0.2217691403642009</v>
      </c>
      <c r="O96" s="5" t="s">
        <v>157</v>
      </c>
      <c r="P96" s="5" t="s">
        <v>12</v>
      </c>
      <c r="Q96" s="5" t="s">
        <v>158</v>
      </c>
      <c r="R96" s="2">
        <v>46197</v>
      </c>
      <c r="S96" s="5" t="s">
        <v>126</v>
      </c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 spans="2:33" hidden="1" x14ac:dyDescent="0.35">
      <c r="B97" s="5" t="s">
        <v>9</v>
      </c>
      <c r="C97" s="1">
        <v>489</v>
      </c>
      <c r="D97" s="5" t="s">
        <v>19</v>
      </c>
      <c r="E97" s="5" t="s">
        <v>99</v>
      </c>
      <c r="F97" s="6">
        <v>36.880000000000003</v>
      </c>
      <c r="G97" s="1">
        <v>36.590000000000003</v>
      </c>
      <c r="H97" s="2">
        <v>46053</v>
      </c>
      <c r="I97" s="15">
        <f ca="1">TODAY()-Base_Relatório[[#This Row],[Plantio]]</f>
        <v>186</v>
      </c>
      <c r="J97" s="2">
        <v>46196</v>
      </c>
      <c r="K97" s="14"/>
      <c r="L97" s="14"/>
      <c r="M97" s="3">
        <v>1030.7692307692307</v>
      </c>
      <c r="N97" s="4">
        <v>0.150209135148233</v>
      </c>
      <c r="O97" s="5" t="s">
        <v>156</v>
      </c>
      <c r="P97" s="5" t="s">
        <v>12</v>
      </c>
      <c r="Q97" s="5" t="s">
        <v>15</v>
      </c>
      <c r="R97" s="2">
        <v>46197</v>
      </c>
      <c r="S97" s="5" t="s">
        <v>126</v>
      </c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 spans="2:33" hidden="1" x14ac:dyDescent="0.35">
      <c r="B98" s="5" t="s">
        <v>9</v>
      </c>
      <c r="C98" s="1">
        <v>489</v>
      </c>
      <c r="D98" s="5" t="s">
        <v>19</v>
      </c>
      <c r="E98" s="5" t="s">
        <v>37</v>
      </c>
      <c r="F98" s="6">
        <v>41.85</v>
      </c>
      <c r="G98" s="1">
        <v>40.94</v>
      </c>
      <c r="H98" s="2">
        <v>46075</v>
      </c>
      <c r="I98" s="15">
        <f ca="1">TODAY()-Base_Relatório[[#This Row],[Plantio]]</f>
        <v>164</v>
      </c>
      <c r="J98" s="2">
        <v>46224</v>
      </c>
      <c r="K98" s="14"/>
      <c r="L98" s="14"/>
      <c r="M98" s="3">
        <v>1015.625</v>
      </c>
      <c r="N98" s="4">
        <v>0.21847228291775489</v>
      </c>
      <c r="O98" s="5" t="s">
        <v>157</v>
      </c>
      <c r="P98" s="5" t="s">
        <v>12</v>
      </c>
      <c r="Q98" s="5" t="s">
        <v>158</v>
      </c>
      <c r="R98" s="2">
        <v>46233</v>
      </c>
      <c r="S98" s="5" t="s">
        <v>126</v>
      </c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 spans="2:33" hidden="1" x14ac:dyDescent="0.35">
      <c r="B99" s="5" t="s">
        <v>9</v>
      </c>
      <c r="C99" s="1">
        <v>489</v>
      </c>
      <c r="D99" s="5" t="s">
        <v>19</v>
      </c>
      <c r="E99" s="5" t="s">
        <v>38</v>
      </c>
      <c r="F99" s="6">
        <v>31.26</v>
      </c>
      <c r="G99" s="1">
        <v>30.73</v>
      </c>
      <c r="H99" s="2">
        <v>46073</v>
      </c>
      <c r="I99" s="15">
        <f ca="1">TODAY()-Base_Relatório[[#This Row],[Plantio]]</f>
        <v>166</v>
      </c>
      <c r="J99" s="2">
        <v>46224</v>
      </c>
      <c r="K99" s="14"/>
      <c r="L99" s="14"/>
      <c r="M99" s="3">
        <v>1081.8181818181818</v>
      </c>
      <c r="N99" s="4">
        <v>0.22373815500166286</v>
      </c>
      <c r="O99" s="5" t="s">
        <v>157</v>
      </c>
      <c r="P99" s="5" t="s">
        <v>12</v>
      </c>
      <c r="Q99" s="5" t="s">
        <v>158</v>
      </c>
      <c r="R99" s="2">
        <v>46233</v>
      </c>
      <c r="S99" s="5" t="s">
        <v>126</v>
      </c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 spans="2:33" hidden="1" x14ac:dyDescent="0.35">
      <c r="B100" s="5" t="s">
        <v>9</v>
      </c>
      <c r="C100" s="1">
        <v>489</v>
      </c>
      <c r="D100" s="5" t="s">
        <v>19</v>
      </c>
      <c r="E100" s="5" t="s">
        <v>106</v>
      </c>
      <c r="F100" s="6">
        <v>7.0738089999999998</v>
      </c>
      <c r="G100" s="1">
        <v>6.8</v>
      </c>
      <c r="H100" s="2">
        <v>46057</v>
      </c>
      <c r="I100" s="15">
        <f ca="1">TODAY()-Base_Relatório[[#This Row],[Plantio]]</f>
        <v>182</v>
      </c>
      <c r="J100" s="2">
        <v>46196</v>
      </c>
      <c r="K100" s="14"/>
      <c r="L100" s="14"/>
      <c r="M100" s="3">
        <v>1116.6666666666667</v>
      </c>
      <c r="N100" s="4">
        <v>0.24779999390106622</v>
      </c>
      <c r="O100" s="5" t="s">
        <v>157</v>
      </c>
      <c r="P100" s="5" t="s">
        <v>9</v>
      </c>
      <c r="Q100" s="5" t="s">
        <v>158</v>
      </c>
      <c r="R100" s="2">
        <v>46197</v>
      </c>
      <c r="S100" s="5" t="s">
        <v>126</v>
      </c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 spans="2:33" hidden="1" x14ac:dyDescent="0.35">
      <c r="B101" s="5" t="s">
        <v>9</v>
      </c>
      <c r="C101" s="1">
        <v>489</v>
      </c>
      <c r="D101" s="5" t="s">
        <v>19</v>
      </c>
      <c r="E101" s="5" t="s">
        <v>13</v>
      </c>
      <c r="F101" s="6">
        <v>47.891098999999997</v>
      </c>
      <c r="G101" s="1">
        <v>47.97</v>
      </c>
      <c r="H101" s="2">
        <v>46060</v>
      </c>
      <c r="I101" s="15">
        <f ca="1">TODAY()-Base_Relatório[[#This Row],[Plantio]]</f>
        <v>179</v>
      </c>
      <c r="J101" s="2">
        <v>46210</v>
      </c>
      <c r="K101" s="14"/>
      <c r="L101" s="14"/>
      <c r="M101" s="3">
        <v>1008.8235294117648</v>
      </c>
      <c r="N101" s="4">
        <v>0.24683655313492953</v>
      </c>
      <c r="O101" s="5" t="s">
        <v>157</v>
      </c>
      <c r="P101" s="5" t="s">
        <v>12</v>
      </c>
      <c r="Q101" s="5" t="s">
        <v>158</v>
      </c>
      <c r="R101" s="2">
        <v>46216</v>
      </c>
      <c r="S101" s="5" t="s">
        <v>126</v>
      </c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 spans="2:33" hidden="1" x14ac:dyDescent="0.35">
      <c r="B102" s="5" t="s">
        <v>9</v>
      </c>
      <c r="C102" s="1">
        <v>489</v>
      </c>
      <c r="D102" s="5" t="s">
        <v>19</v>
      </c>
      <c r="E102" s="5" t="s">
        <v>39</v>
      </c>
      <c r="F102" s="6">
        <v>36.04</v>
      </c>
      <c r="G102" s="1">
        <v>35.72</v>
      </c>
      <c r="H102" s="2">
        <v>46077</v>
      </c>
      <c r="I102" s="15">
        <f ca="1">TODAY()-Base_Relatório[[#This Row],[Plantio]]</f>
        <v>162</v>
      </c>
      <c r="J102" s="2">
        <v>46224</v>
      </c>
      <c r="K102" s="14"/>
      <c r="L102" s="14"/>
      <c r="M102" s="3">
        <v>1078.8461538461538</v>
      </c>
      <c r="N102" s="4">
        <v>0.21803634702775621</v>
      </c>
      <c r="O102" s="5" t="s">
        <v>157</v>
      </c>
      <c r="P102" s="5" t="s">
        <v>12</v>
      </c>
      <c r="Q102" s="5" t="s">
        <v>158</v>
      </c>
      <c r="R102" s="2">
        <v>46233</v>
      </c>
      <c r="S102" s="5" t="s">
        <v>126</v>
      </c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 spans="2:33" hidden="1" x14ac:dyDescent="0.35">
      <c r="B103" s="5" t="s">
        <v>9</v>
      </c>
      <c r="C103" s="1">
        <v>489</v>
      </c>
      <c r="D103" s="5" t="s">
        <v>19</v>
      </c>
      <c r="E103" s="5" t="s">
        <v>58</v>
      </c>
      <c r="F103" s="6">
        <v>43.51</v>
      </c>
      <c r="G103" s="1">
        <v>42.63</v>
      </c>
      <c r="H103" s="2">
        <v>46079</v>
      </c>
      <c r="I103" s="15">
        <f ca="1">TODAY()-Base_Relatório[[#This Row],[Plantio]]</f>
        <v>160</v>
      </c>
      <c r="J103" s="2">
        <v>46224</v>
      </c>
      <c r="K103" s="14"/>
      <c r="L103" s="14"/>
      <c r="M103" s="3">
        <v>1060</v>
      </c>
      <c r="N103" s="4">
        <v>0.24757916170307492</v>
      </c>
      <c r="O103" s="5" t="s">
        <v>157</v>
      </c>
      <c r="P103" s="5" t="s">
        <v>12</v>
      </c>
      <c r="Q103" s="5" t="s">
        <v>158</v>
      </c>
      <c r="R103" s="2">
        <v>46233</v>
      </c>
      <c r="S103" s="5" t="s">
        <v>126</v>
      </c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 spans="2:33" hidden="1" x14ac:dyDescent="0.35">
      <c r="B104" s="5" t="s">
        <v>9</v>
      </c>
      <c r="C104" s="1">
        <v>489</v>
      </c>
      <c r="D104" s="5" t="s">
        <v>19</v>
      </c>
      <c r="E104" s="5" t="s">
        <v>43</v>
      </c>
      <c r="F104" s="6">
        <v>52.6</v>
      </c>
      <c r="G104" s="1">
        <v>51.62</v>
      </c>
      <c r="H104" s="2">
        <v>46067</v>
      </c>
      <c r="I104" s="15">
        <f ca="1">TODAY()-Base_Relatório[[#This Row],[Plantio]]</f>
        <v>172</v>
      </c>
      <c r="J104" s="2">
        <v>46210</v>
      </c>
      <c r="K104" s="14"/>
      <c r="L104" s="14"/>
      <c r="M104" s="3">
        <v>956.57894736842104</v>
      </c>
      <c r="N104" s="4">
        <v>0.2853646879048477</v>
      </c>
      <c r="O104" s="5" t="s">
        <v>159</v>
      </c>
      <c r="P104" s="5" t="s">
        <v>12</v>
      </c>
      <c r="Q104" s="5" t="s">
        <v>158</v>
      </c>
      <c r="R104" s="2">
        <v>46216</v>
      </c>
      <c r="S104" s="5" t="s">
        <v>126</v>
      </c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 spans="2:33" hidden="1" x14ac:dyDescent="0.35">
      <c r="B105" s="5" t="s">
        <v>9</v>
      </c>
      <c r="C105" s="1">
        <v>489</v>
      </c>
      <c r="D105" s="5" t="s">
        <v>19</v>
      </c>
      <c r="E105" s="5" t="s">
        <v>44</v>
      </c>
      <c r="F105" s="6">
        <v>19.09</v>
      </c>
      <c r="G105" s="1">
        <v>17.5</v>
      </c>
      <c r="H105" s="2">
        <v>46064</v>
      </c>
      <c r="I105" s="15">
        <f ca="1">TODAY()-Base_Relatório[[#This Row],[Plantio]]</f>
        <v>175</v>
      </c>
      <c r="J105" s="2">
        <v>46210</v>
      </c>
      <c r="K105" s="14"/>
      <c r="L105" s="14"/>
      <c r="M105" s="3">
        <v>1035</v>
      </c>
      <c r="N105" s="4">
        <v>0.25707291538427735</v>
      </c>
      <c r="O105" s="5" t="s">
        <v>159</v>
      </c>
      <c r="P105" s="5" t="s">
        <v>12</v>
      </c>
      <c r="Q105" s="5" t="s">
        <v>158</v>
      </c>
      <c r="R105" s="2">
        <v>46216</v>
      </c>
      <c r="S105" s="5" t="s">
        <v>126</v>
      </c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 spans="2:33" hidden="1" x14ac:dyDescent="0.35">
      <c r="B106" s="5" t="s">
        <v>9</v>
      </c>
      <c r="C106" s="1">
        <v>489</v>
      </c>
      <c r="D106" s="5" t="s">
        <v>19</v>
      </c>
      <c r="E106" s="5" t="s">
        <v>111</v>
      </c>
      <c r="F106" s="6">
        <v>28.64</v>
      </c>
      <c r="G106" s="1">
        <v>30.35</v>
      </c>
      <c r="H106" s="2">
        <v>46064</v>
      </c>
      <c r="I106" s="15">
        <f ca="1">TODAY()-Base_Relatório[[#This Row],[Plantio]]</f>
        <v>175</v>
      </c>
      <c r="J106" s="2">
        <v>46210</v>
      </c>
      <c r="K106" s="14"/>
      <c r="L106" s="14"/>
      <c r="M106" s="3">
        <v>965</v>
      </c>
      <c r="N106" s="4">
        <v>0.31637188898983953</v>
      </c>
      <c r="O106" s="5" t="s">
        <v>161</v>
      </c>
      <c r="P106" s="5" t="s">
        <v>12</v>
      </c>
      <c r="Q106" s="5" t="s">
        <v>158</v>
      </c>
      <c r="R106" s="2">
        <v>46216</v>
      </c>
      <c r="S106" s="5" t="s">
        <v>126</v>
      </c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 spans="2:33" hidden="1" x14ac:dyDescent="0.35">
      <c r="B107" s="5" t="s">
        <v>9</v>
      </c>
      <c r="C107" s="1">
        <v>489</v>
      </c>
      <c r="D107" s="5" t="s">
        <v>19</v>
      </c>
      <c r="E107" s="5" t="s">
        <v>45</v>
      </c>
      <c r="F107" s="6">
        <v>53.38</v>
      </c>
      <c r="G107" s="1">
        <v>52.96</v>
      </c>
      <c r="H107" s="2">
        <v>46063</v>
      </c>
      <c r="I107" s="15">
        <f ca="1">TODAY()-Base_Relatório[[#This Row],[Plantio]]</f>
        <v>176</v>
      </c>
      <c r="J107" s="2">
        <v>46210</v>
      </c>
      <c r="K107" s="14"/>
      <c r="L107" s="14"/>
      <c r="M107" s="3">
        <v>1044.7368421052631</v>
      </c>
      <c r="N107" s="4">
        <v>0.21407083790989229</v>
      </c>
      <c r="O107" s="5" t="s">
        <v>157</v>
      </c>
      <c r="P107" s="5" t="s">
        <v>12</v>
      </c>
      <c r="Q107" s="5" t="s">
        <v>158</v>
      </c>
      <c r="R107" s="2">
        <v>46216</v>
      </c>
      <c r="S107" s="5" t="s">
        <v>126</v>
      </c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 spans="2:33" hidden="1" x14ac:dyDescent="0.35">
      <c r="B108" s="5" t="s">
        <v>9</v>
      </c>
      <c r="C108" s="1">
        <v>489</v>
      </c>
      <c r="D108" s="5" t="s">
        <v>19</v>
      </c>
      <c r="E108" s="5" t="s">
        <v>14</v>
      </c>
      <c r="F108" s="6">
        <v>44.43</v>
      </c>
      <c r="G108" s="1">
        <v>44.57</v>
      </c>
      <c r="H108" s="2">
        <v>46065</v>
      </c>
      <c r="I108" s="15">
        <f ca="1">TODAY()-Base_Relatório[[#This Row],[Plantio]]</f>
        <v>174</v>
      </c>
      <c r="J108" s="2">
        <v>46210</v>
      </c>
      <c r="K108" s="14"/>
      <c r="L108" s="14"/>
      <c r="M108" s="3">
        <v>1026.5625</v>
      </c>
      <c r="N108" s="4">
        <v>0.23398491123860451</v>
      </c>
      <c r="O108" s="5" t="s">
        <v>157</v>
      </c>
      <c r="P108" s="5" t="s">
        <v>12</v>
      </c>
      <c r="Q108" s="5" t="s">
        <v>158</v>
      </c>
      <c r="R108" s="2">
        <v>46216</v>
      </c>
      <c r="S108" s="5" t="s">
        <v>126</v>
      </c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 spans="2:33" hidden="1" x14ac:dyDescent="0.35">
      <c r="B109" s="5" t="s">
        <v>9</v>
      </c>
      <c r="C109" s="1">
        <v>489</v>
      </c>
      <c r="D109" s="5" t="s">
        <v>19</v>
      </c>
      <c r="E109" s="5" t="s">
        <v>101</v>
      </c>
      <c r="F109" s="6">
        <v>40.08</v>
      </c>
      <c r="G109" s="1">
        <v>39.36</v>
      </c>
      <c r="H109" s="2">
        <v>46062</v>
      </c>
      <c r="I109" s="15">
        <f ca="1">TODAY()-Base_Relatório[[#This Row],[Plantio]]</f>
        <v>177</v>
      </c>
      <c r="J109" s="2">
        <v>46224</v>
      </c>
      <c r="K109" s="14"/>
      <c r="L109" s="14"/>
      <c r="M109" s="3">
        <v>1033.9285714285713</v>
      </c>
      <c r="N109" s="4">
        <v>0.28977644518771517</v>
      </c>
      <c r="O109" s="5" t="s">
        <v>159</v>
      </c>
      <c r="P109" s="5" t="s">
        <v>12</v>
      </c>
      <c r="Q109" s="5" t="s">
        <v>158</v>
      </c>
      <c r="R109" s="2">
        <v>46233</v>
      </c>
      <c r="S109" s="5" t="s">
        <v>126</v>
      </c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 spans="2:33" hidden="1" x14ac:dyDescent="0.35">
      <c r="B110" s="5" t="s">
        <v>9</v>
      </c>
      <c r="C110" s="1">
        <v>489</v>
      </c>
      <c r="D110" s="5" t="s">
        <v>19</v>
      </c>
      <c r="E110" s="5" t="s">
        <v>107</v>
      </c>
      <c r="F110" s="6">
        <v>2.7435800000000001</v>
      </c>
      <c r="G110" s="1">
        <v>2.66</v>
      </c>
      <c r="H110" s="2">
        <v>46058</v>
      </c>
      <c r="I110" s="15">
        <f ca="1">TODAY()-Base_Relatório[[#This Row],[Plantio]]</f>
        <v>181</v>
      </c>
      <c r="J110" s="2">
        <v>46196</v>
      </c>
      <c r="K110" s="14"/>
      <c r="L110" s="14"/>
      <c r="M110" s="3">
        <v>1075</v>
      </c>
      <c r="N110" s="4">
        <v>0.27573298199436597</v>
      </c>
      <c r="O110" s="5" t="s">
        <v>159</v>
      </c>
      <c r="P110" s="5" t="s">
        <v>12</v>
      </c>
      <c r="Q110" s="5" t="s">
        <v>158</v>
      </c>
      <c r="R110" s="2">
        <v>46197</v>
      </c>
      <c r="S110" s="5" t="s">
        <v>126</v>
      </c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 spans="2:33" hidden="1" x14ac:dyDescent="0.35">
      <c r="B111" s="5" t="s">
        <v>9</v>
      </c>
      <c r="C111" s="1">
        <v>489</v>
      </c>
      <c r="D111" s="5" t="s">
        <v>19</v>
      </c>
      <c r="E111" s="5" t="s">
        <v>55</v>
      </c>
      <c r="F111" s="6">
        <v>26.47</v>
      </c>
      <c r="G111" s="1">
        <v>25.96</v>
      </c>
      <c r="H111" s="2">
        <v>46062</v>
      </c>
      <c r="I111" s="15">
        <f ca="1">TODAY()-Base_Relatório[[#This Row],[Plantio]]</f>
        <v>177</v>
      </c>
      <c r="J111" s="2">
        <v>46196</v>
      </c>
      <c r="K111" s="14"/>
      <c r="L111" s="14"/>
      <c r="M111" s="3">
        <v>995</v>
      </c>
      <c r="N111" s="4">
        <v>0.35197728715466264</v>
      </c>
      <c r="O111" s="5" t="s">
        <v>162</v>
      </c>
      <c r="P111" s="5" t="s">
        <v>12</v>
      </c>
      <c r="Q111" s="5" t="s">
        <v>158</v>
      </c>
      <c r="R111" s="2">
        <v>46197</v>
      </c>
      <c r="S111" s="5" t="s">
        <v>126</v>
      </c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 spans="2:33" hidden="1" x14ac:dyDescent="0.35">
      <c r="B112" s="5" t="s">
        <v>9</v>
      </c>
      <c r="C112" s="1">
        <v>489</v>
      </c>
      <c r="D112" s="5" t="s">
        <v>19</v>
      </c>
      <c r="E112" s="5" t="s">
        <v>102</v>
      </c>
      <c r="F112" s="6">
        <v>47.74</v>
      </c>
      <c r="G112" s="1">
        <v>46.97</v>
      </c>
      <c r="H112" s="2">
        <v>46057</v>
      </c>
      <c r="I112" s="15">
        <f ca="1">TODAY()-Base_Relatório[[#This Row],[Plantio]]</f>
        <v>182</v>
      </c>
      <c r="J112" s="2">
        <v>46224</v>
      </c>
      <c r="K112" s="14"/>
      <c r="L112" s="14"/>
      <c r="M112" s="3">
        <v>1007.3529411764706</v>
      </c>
      <c r="N112" s="4">
        <v>0.28110545291973993</v>
      </c>
      <c r="O112" s="5" t="s">
        <v>159</v>
      </c>
      <c r="P112" s="5" t="s">
        <v>12</v>
      </c>
      <c r="Q112" s="5" t="s">
        <v>158</v>
      </c>
      <c r="R112" s="2">
        <v>46233</v>
      </c>
      <c r="S112" s="5" t="s">
        <v>126</v>
      </c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 spans="2:33" hidden="1" x14ac:dyDescent="0.35">
      <c r="B113" s="5" t="s">
        <v>9</v>
      </c>
      <c r="C113" s="1">
        <v>489</v>
      </c>
      <c r="D113" s="5" t="s">
        <v>19</v>
      </c>
      <c r="E113" s="5" t="s">
        <v>59</v>
      </c>
      <c r="F113" s="6">
        <v>49.91</v>
      </c>
      <c r="G113" s="1">
        <v>49.61</v>
      </c>
      <c r="H113" s="2">
        <v>46058</v>
      </c>
      <c r="I113" s="15">
        <f ca="1">TODAY()-Base_Relatório[[#This Row],[Plantio]]</f>
        <v>181</v>
      </c>
      <c r="J113" s="2">
        <v>46224</v>
      </c>
      <c r="K113" s="14"/>
      <c r="L113" s="14"/>
      <c r="M113" s="3">
        <v>947.22222222222217</v>
      </c>
      <c r="N113" s="4">
        <v>0.28310536678874648</v>
      </c>
      <c r="O113" s="5" t="s">
        <v>159</v>
      </c>
      <c r="P113" s="5" t="s">
        <v>12</v>
      </c>
      <c r="Q113" s="5" t="s">
        <v>158</v>
      </c>
      <c r="R113" s="2">
        <v>46233</v>
      </c>
      <c r="S113" s="5" t="s">
        <v>126</v>
      </c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 spans="2:33" hidden="1" x14ac:dyDescent="0.35">
      <c r="B114" s="5" t="s">
        <v>9</v>
      </c>
      <c r="C114" s="1">
        <v>489</v>
      </c>
      <c r="D114" s="5" t="s">
        <v>19</v>
      </c>
      <c r="E114" s="5" t="s">
        <v>60</v>
      </c>
      <c r="F114" s="6">
        <v>6.5</v>
      </c>
      <c r="G114" s="1">
        <v>6.47</v>
      </c>
      <c r="H114" s="2">
        <v>46057</v>
      </c>
      <c r="I114" s="15">
        <f ca="1">TODAY()-Base_Relatório[[#This Row],[Plantio]]</f>
        <v>182</v>
      </c>
      <c r="J114" s="2">
        <v>46210</v>
      </c>
      <c r="K114" s="14"/>
      <c r="L114" s="14"/>
      <c r="M114" s="3">
        <v>1133.3333333333333</v>
      </c>
      <c r="N114" s="4">
        <v>0.19423231602444679</v>
      </c>
      <c r="O114" s="5" t="s">
        <v>156</v>
      </c>
      <c r="P114" s="5" t="s">
        <v>9</v>
      </c>
      <c r="Q114" s="5" t="s">
        <v>15</v>
      </c>
      <c r="R114" s="2">
        <v>46216</v>
      </c>
      <c r="S114" s="5" t="s">
        <v>126</v>
      </c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 spans="2:33" hidden="1" x14ac:dyDescent="0.35">
      <c r="B115" s="5" t="s">
        <v>9</v>
      </c>
      <c r="C115" s="1">
        <v>489</v>
      </c>
      <c r="D115" s="5" t="s">
        <v>19</v>
      </c>
      <c r="E115" s="5" t="s">
        <v>89</v>
      </c>
      <c r="F115" s="6">
        <v>9.58</v>
      </c>
      <c r="G115" s="1">
        <v>9.42</v>
      </c>
      <c r="H115" s="2">
        <v>46057</v>
      </c>
      <c r="I115" s="15">
        <f ca="1">TODAY()-Base_Relatório[[#This Row],[Plantio]]</f>
        <v>182</v>
      </c>
      <c r="J115" s="2">
        <v>46210</v>
      </c>
      <c r="K115" s="14"/>
      <c r="L115" s="14"/>
      <c r="M115" s="3">
        <v>975</v>
      </c>
      <c r="N115" s="4">
        <v>0.26922831302730926</v>
      </c>
      <c r="O115" s="5" t="s">
        <v>159</v>
      </c>
      <c r="P115" s="5" t="s">
        <v>12</v>
      </c>
      <c r="Q115" s="5" t="s">
        <v>158</v>
      </c>
      <c r="R115" s="2">
        <v>46216</v>
      </c>
      <c r="S115" s="5" t="s">
        <v>126</v>
      </c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 spans="2:33" hidden="1" x14ac:dyDescent="0.35">
      <c r="B116" s="5" t="s">
        <v>9</v>
      </c>
      <c r="C116" s="1">
        <v>489</v>
      </c>
      <c r="D116" s="5" t="s">
        <v>19</v>
      </c>
      <c r="E116" s="5" t="s">
        <v>46</v>
      </c>
      <c r="F116" s="6">
        <v>30.42</v>
      </c>
      <c r="G116" s="1">
        <v>30.33</v>
      </c>
      <c r="H116" s="2">
        <v>46063</v>
      </c>
      <c r="I116" s="15">
        <f ca="1">TODAY()-Base_Relatório[[#This Row],[Plantio]]</f>
        <v>176</v>
      </c>
      <c r="J116" s="2">
        <v>46196</v>
      </c>
      <c r="K116" s="14"/>
      <c r="L116" s="14"/>
      <c r="M116" s="3">
        <v>1061.3636363636363</v>
      </c>
      <c r="N116" s="4">
        <v>0.31588211491949342</v>
      </c>
      <c r="O116" s="5" t="s">
        <v>161</v>
      </c>
      <c r="P116" s="5" t="s">
        <v>12</v>
      </c>
      <c r="Q116" s="5" t="s">
        <v>158</v>
      </c>
      <c r="R116" s="2">
        <v>46197</v>
      </c>
      <c r="S116" s="5" t="s">
        <v>126</v>
      </c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 spans="2:33" hidden="1" x14ac:dyDescent="0.35">
      <c r="B117" s="5" t="s">
        <v>9</v>
      </c>
      <c r="C117" s="1">
        <v>489</v>
      </c>
      <c r="D117" s="5" t="s">
        <v>19</v>
      </c>
      <c r="E117" s="5" t="s">
        <v>56</v>
      </c>
      <c r="F117" s="6">
        <v>39.659999999999997</v>
      </c>
      <c r="G117" s="1">
        <v>38.67</v>
      </c>
      <c r="H117" s="2">
        <v>46065</v>
      </c>
      <c r="I117" s="15">
        <f ca="1">TODAY()-Base_Relatório[[#This Row],[Plantio]]</f>
        <v>174</v>
      </c>
      <c r="J117" s="2">
        <v>46210</v>
      </c>
      <c r="K117" s="14"/>
      <c r="L117" s="14"/>
      <c r="M117" s="3">
        <v>1051.7857142857142</v>
      </c>
      <c r="N117" s="4">
        <v>0.25641999847714753</v>
      </c>
      <c r="O117" s="5" t="s">
        <v>159</v>
      </c>
      <c r="P117" s="5" t="s">
        <v>12</v>
      </c>
      <c r="Q117" s="5" t="s">
        <v>158</v>
      </c>
      <c r="R117" s="2">
        <v>46216</v>
      </c>
      <c r="S117" s="5" t="s">
        <v>126</v>
      </c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 spans="2:33" hidden="1" x14ac:dyDescent="0.35">
      <c r="B118" s="5" t="s">
        <v>9</v>
      </c>
      <c r="C118" s="1">
        <v>489</v>
      </c>
      <c r="D118" s="5" t="s">
        <v>19</v>
      </c>
      <c r="E118" s="5" t="s">
        <v>27</v>
      </c>
      <c r="F118" s="6">
        <v>33.42</v>
      </c>
      <c r="G118" s="1">
        <v>33.07</v>
      </c>
      <c r="H118" s="2">
        <v>46031</v>
      </c>
      <c r="I118" s="15">
        <f ca="1">TODAY()-Base_Relatório[[#This Row],[Plantio]]</f>
        <v>208</v>
      </c>
      <c r="J118" s="2">
        <v>46169</v>
      </c>
      <c r="K118" s="14"/>
      <c r="L118" s="14"/>
      <c r="M118" s="3">
        <v>1095.8333333333333</v>
      </c>
      <c r="N118" s="4">
        <v>0.16165215627112556</v>
      </c>
      <c r="O118" s="5" t="s">
        <v>156</v>
      </c>
      <c r="P118" s="5" t="s">
        <v>12</v>
      </c>
      <c r="Q118" s="5" t="s">
        <v>15</v>
      </c>
      <c r="R118" s="2">
        <v>46183</v>
      </c>
      <c r="S118" s="5" t="s">
        <v>126</v>
      </c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 spans="2:33" hidden="1" x14ac:dyDescent="0.35">
      <c r="B119" s="5" t="s">
        <v>9</v>
      </c>
      <c r="C119" s="1">
        <v>489</v>
      </c>
      <c r="D119" s="5" t="s">
        <v>19</v>
      </c>
      <c r="E119" s="5" t="s">
        <v>28</v>
      </c>
      <c r="F119" s="6">
        <v>48.84</v>
      </c>
      <c r="G119" s="1">
        <v>48.73</v>
      </c>
      <c r="H119" s="2">
        <v>46032</v>
      </c>
      <c r="I119" s="15">
        <f ca="1">TODAY()-Base_Relatório[[#This Row],[Plantio]]</f>
        <v>207</v>
      </c>
      <c r="J119" s="2">
        <v>46169</v>
      </c>
      <c r="K119" s="14"/>
      <c r="L119" s="14"/>
      <c r="M119" s="3">
        <v>1054.6334342560554</v>
      </c>
      <c r="N119" s="4">
        <v>0.16288567810302088</v>
      </c>
      <c r="O119" s="5" t="s">
        <v>156</v>
      </c>
      <c r="P119" s="5" t="s">
        <v>12</v>
      </c>
      <c r="Q119" s="5" t="s">
        <v>15</v>
      </c>
      <c r="R119" s="2">
        <v>46183</v>
      </c>
      <c r="S119" s="5" t="s">
        <v>126</v>
      </c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 spans="2:33" hidden="1" x14ac:dyDescent="0.35">
      <c r="B120" s="5" t="s">
        <v>9</v>
      </c>
      <c r="C120" s="1">
        <v>489</v>
      </c>
      <c r="D120" s="5" t="s">
        <v>19</v>
      </c>
      <c r="E120" s="5" t="s">
        <v>29</v>
      </c>
      <c r="F120" s="6">
        <v>33.68</v>
      </c>
      <c r="G120" s="1">
        <v>33.659999999999997</v>
      </c>
      <c r="H120" s="2">
        <v>46037</v>
      </c>
      <c r="I120" s="15">
        <f ca="1">TODAY()-Base_Relatório[[#This Row],[Plantio]]</f>
        <v>202</v>
      </c>
      <c r="J120" s="2">
        <v>46169</v>
      </c>
      <c r="K120" s="14"/>
      <c r="L120" s="14"/>
      <c r="M120" s="3">
        <v>1025</v>
      </c>
      <c r="N120" s="4">
        <v>0.2118172450208303</v>
      </c>
      <c r="O120" s="5" t="s">
        <v>157</v>
      </c>
      <c r="P120" s="5" t="s">
        <v>12</v>
      </c>
      <c r="Q120" s="5" t="s">
        <v>158</v>
      </c>
      <c r="R120" s="2">
        <v>46183</v>
      </c>
      <c r="S120" s="5" t="s">
        <v>126</v>
      </c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 spans="2:33" hidden="1" x14ac:dyDescent="0.35">
      <c r="B121" s="5" t="s">
        <v>9</v>
      </c>
      <c r="C121" s="1">
        <v>741</v>
      </c>
      <c r="D121" s="5" t="s">
        <v>118</v>
      </c>
      <c r="E121" s="5" t="s">
        <v>17</v>
      </c>
      <c r="F121" s="6">
        <v>7.65</v>
      </c>
      <c r="G121" s="1">
        <v>6.68</v>
      </c>
      <c r="H121" s="2">
        <v>46094</v>
      </c>
      <c r="I121" s="15">
        <f ca="1">TODAY()-Base_Relatório[[#This Row],[Plantio]]</f>
        <v>145</v>
      </c>
      <c r="J121" s="2">
        <v>46216</v>
      </c>
      <c r="K121" s="14"/>
      <c r="L121" s="14"/>
      <c r="M121" s="3">
        <v>1108.3333333333333</v>
      </c>
      <c r="N121" s="4">
        <v>0.19246501759074688</v>
      </c>
      <c r="O121" s="5" t="s">
        <v>156</v>
      </c>
      <c r="P121" s="5" t="s">
        <v>9</v>
      </c>
      <c r="Q121" s="5" t="s">
        <v>15</v>
      </c>
      <c r="R121" s="2">
        <v>46216</v>
      </c>
      <c r="S121" s="5" t="s">
        <v>128</v>
      </c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 spans="2:33" hidden="1" x14ac:dyDescent="0.35">
      <c r="B122" s="5" t="s">
        <v>9</v>
      </c>
      <c r="C122" s="1">
        <v>741</v>
      </c>
      <c r="D122" s="5" t="s">
        <v>118</v>
      </c>
      <c r="E122" s="5" t="s">
        <v>20</v>
      </c>
      <c r="F122" s="6">
        <v>11.76</v>
      </c>
      <c r="G122" s="1">
        <v>11.5</v>
      </c>
      <c r="H122" s="2">
        <v>46101</v>
      </c>
      <c r="I122" s="15">
        <f ca="1">TODAY()-Base_Relatório[[#This Row],[Plantio]]</f>
        <v>138</v>
      </c>
      <c r="J122" s="2">
        <v>46216</v>
      </c>
      <c r="K122" s="14"/>
      <c r="L122" s="14"/>
      <c r="M122" s="3">
        <v>1118.75</v>
      </c>
      <c r="N122" s="4">
        <v>0.15471988784740398</v>
      </c>
      <c r="O122" s="5" t="s">
        <v>156</v>
      </c>
      <c r="P122" s="5" t="s">
        <v>9</v>
      </c>
      <c r="Q122" s="5" t="s">
        <v>15</v>
      </c>
      <c r="R122" s="2">
        <v>46216</v>
      </c>
      <c r="S122" s="5" t="s">
        <v>128</v>
      </c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 spans="2:33" hidden="1" x14ac:dyDescent="0.35">
      <c r="B123" s="5" t="s">
        <v>9</v>
      </c>
      <c r="C123" s="1">
        <v>741</v>
      </c>
      <c r="D123" s="5" t="s">
        <v>118</v>
      </c>
      <c r="E123" s="5" t="s">
        <v>22</v>
      </c>
      <c r="F123" s="6">
        <v>7.18</v>
      </c>
      <c r="G123" s="1">
        <v>6.61</v>
      </c>
      <c r="H123" s="2">
        <v>46100</v>
      </c>
      <c r="I123" s="15">
        <f ca="1">TODAY()-Base_Relatório[[#This Row],[Plantio]]</f>
        <v>139</v>
      </c>
      <c r="J123" s="2">
        <v>46216</v>
      </c>
      <c r="K123" s="14"/>
      <c r="L123" s="14"/>
      <c r="M123" s="3">
        <v>1115.2777777777776</v>
      </c>
      <c r="N123" s="4">
        <v>0.18726738816234323</v>
      </c>
      <c r="O123" s="5" t="s">
        <v>156</v>
      </c>
      <c r="P123" s="5" t="s">
        <v>9</v>
      </c>
      <c r="Q123" s="5" t="s">
        <v>15</v>
      </c>
      <c r="R123" s="2">
        <v>46216</v>
      </c>
      <c r="S123" s="5" t="s">
        <v>128</v>
      </c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 spans="2:33" hidden="1" x14ac:dyDescent="0.35">
      <c r="B124" s="5" t="s">
        <v>9</v>
      </c>
      <c r="C124" s="1">
        <v>741</v>
      </c>
      <c r="D124" s="5" t="s">
        <v>118</v>
      </c>
      <c r="E124" s="5" t="s">
        <v>23</v>
      </c>
      <c r="F124" s="6">
        <v>8.91</v>
      </c>
      <c r="G124" s="1">
        <v>8.35</v>
      </c>
      <c r="H124" s="2">
        <v>46100</v>
      </c>
      <c r="I124" s="15">
        <f ca="1">TODAY()-Base_Relatório[[#This Row],[Plantio]]</f>
        <v>139</v>
      </c>
      <c r="J124" s="2">
        <v>46216</v>
      </c>
      <c r="K124" s="14"/>
      <c r="L124" s="14"/>
      <c r="M124" s="3">
        <v>1075</v>
      </c>
      <c r="N124" s="4">
        <v>0.12294170667872943</v>
      </c>
      <c r="O124" s="5" t="s">
        <v>160</v>
      </c>
      <c r="P124" s="5" t="s">
        <v>12</v>
      </c>
      <c r="Q124" s="5" t="s">
        <v>15</v>
      </c>
      <c r="R124" s="2">
        <v>46216</v>
      </c>
      <c r="S124" s="5" t="s">
        <v>128</v>
      </c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 spans="2:33" hidden="1" x14ac:dyDescent="0.35">
      <c r="B125" s="5" t="s">
        <v>9</v>
      </c>
      <c r="C125" s="1">
        <v>741</v>
      </c>
      <c r="D125" s="5" t="s">
        <v>118</v>
      </c>
      <c r="E125" s="5" t="s">
        <v>24</v>
      </c>
      <c r="F125" s="6">
        <v>7.68</v>
      </c>
      <c r="G125" s="1">
        <v>7.42</v>
      </c>
      <c r="H125" s="2">
        <v>46100</v>
      </c>
      <c r="I125" s="15">
        <f ca="1">TODAY()-Base_Relatório[[#This Row],[Plantio]]</f>
        <v>139</v>
      </c>
      <c r="J125" s="2">
        <v>46216</v>
      </c>
      <c r="K125" s="14"/>
      <c r="L125" s="14"/>
      <c r="M125" s="3">
        <v>1133.3333333333333</v>
      </c>
      <c r="N125" s="4">
        <v>0.132131829940664</v>
      </c>
      <c r="O125" s="5" t="s">
        <v>160</v>
      </c>
      <c r="P125" s="5" t="s">
        <v>9</v>
      </c>
      <c r="Q125" s="5" t="s">
        <v>15</v>
      </c>
      <c r="R125" s="2">
        <v>46216</v>
      </c>
      <c r="S125" s="5" t="s">
        <v>128</v>
      </c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 spans="2:33" hidden="1" x14ac:dyDescent="0.35">
      <c r="B126" s="5" t="s">
        <v>9</v>
      </c>
      <c r="C126" s="1">
        <v>741</v>
      </c>
      <c r="D126" s="5" t="s">
        <v>118</v>
      </c>
      <c r="E126" s="5" t="s">
        <v>31</v>
      </c>
      <c r="F126" s="6">
        <v>15.82</v>
      </c>
      <c r="G126" s="1">
        <v>14.31</v>
      </c>
      <c r="H126" s="2">
        <v>46083</v>
      </c>
      <c r="I126" s="15">
        <f ca="1">TODAY()-Base_Relatório[[#This Row],[Plantio]]</f>
        <v>156</v>
      </c>
      <c r="J126" s="2">
        <v>46216</v>
      </c>
      <c r="K126" s="14"/>
      <c r="L126" s="14"/>
      <c r="M126" s="3">
        <v>1100</v>
      </c>
      <c r="N126" s="4">
        <v>0.17133321552477659</v>
      </c>
      <c r="O126" s="5" t="s">
        <v>156</v>
      </c>
      <c r="P126" s="5" t="s">
        <v>9</v>
      </c>
      <c r="Q126" s="5" t="s">
        <v>15</v>
      </c>
      <c r="R126" s="2">
        <v>46216</v>
      </c>
      <c r="S126" s="5" t="s">
        <v>128</v>
      </c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 spans="2:33" hidden="1" x14ac:dyDescent="0.35">
      <c r="B127" s="5" t="s">
        <v>9</v>
      </c>
      <c r="C127" s="1">
        <v>741</v>
      </c>
      <c r="D127" s="5" t="s">
        <v>118</v>
      </c>
      <c r="E127" s="5" t="s">
        <v>11</v>
      </c>
      <c r="F127" s="6">
        <v>13.37</v>
      </c>
      <c r="G127" s="1">
        <v>13.16</v>
      </c>
      <c r="H127" s="2">
        <v>46083</v>
      </c>
      <c r="I127" s="15">
        <f ca="1">TODAY()-Base_Relatório[[#This Row],[Plantio]]</f>
        <v>156</v>
      </c>
      <c r="J127" s="2">
        <v>46216</v>
      </c>
      <c r="K127" s="14"/>
      <c r="L127" s="14"/>
      <c r="M127" s="3">
        <v>1125</v>
      </c>
      <c r="N127" s="4">
        <v>0.15759487806192871</v>
      </c>
      <c r="O127" s="5" t="s">
        <v>156</v>
      </c>
      <c r="P127" s="5" t="s">
        <v>9</v>
      </c>
      <c r="Q127" s="5" t="s">
        <v>15</v>
      </c>
      <c r="R127" s="2">
        <v>46216</v>
      </c>
      <c r="S127" s="5" t="s">
        <v>128</v>
      </c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 spans="2:33" hidden="1" x14ac:dyDescent="0.35">
      <c r="B128" s="5" t="s">
        <v>9</v>
      </c>
      <c r="C128" s="1">
        <v>741</v>
      </c>
      <c r="D128" s="5" t="s">
        <v>118</v>
      </c>
      <c r="E128" s="5" t="s">
        <v>32</v>
      </c>
      <c r="F128" s="6">
        <v>14.01</v>
      </c>
      <c r="G128" s="1">
        <v>12.93</v>
      </c>
      <c r="H128" s="2">
        <v>46084</v>
      </c>
      <c r="I128" s="15">
        <f ca="1">TODAY()-Base_Relatório[[#This Row],[Plantio]]</f>
        <v>155</v>
      </c>
      <c r="J128" s="2">
        <v>46216</v>
      </c>
      <c r="K128" s="14"/>
      <c r="L128" s="14"/>
      <c r="M128" s="3">
        <v>1135</v>
      </c>
      <c r="N128" s="4">
        <v>0.17014946662234495</v>
      </c>
      <c r="O128" s="5" t="s">
        <v>156</v>
      </c>
      <c r="P128" s="5" t="s">
        <v>9</v>
      </c>
      <c r="Q128" s="5" t="s">
        <v>15</v>
      </c>
      <c r="R128" s="2">
        <v>46216</v>
      </c>
      <c r="S128" s="5" t="s">
        <v>128</v>
      </c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 spans="2:33" hidden="1" x14ac:dyDescent="0.35">
      <c r="B129" s="5" t="s">
        <v>9</v>
      </c>
      <c r="C129" s="1">
        <v>741</v>
      </c>
      <c r="D129" s="5" t="s">
        <v>118</v>
      </c>
      <c r="E129" s="5" t="s">
        <v>26</v>
      </c>
      <c r="F129" s="6">
        <v>9.48</v>
      </c>
      <c r="G129" s="1">
        <v>8.49</v>
      </c>
      <c r="H129" s="2">
        <v>46084</v>
      </c>
      <c r="I129" s="15">
        <f ca="1">TODAY()-Base_Relatório[[#This Row],[Plantio]]</f>
        <v>155</v>
      </c>
      <c r="J129" s="2">
        <v>46216</v>
      </c>
      <c r="K129" s="14"/>
      <c r="L129" s="14"/>
      <c r="M129" s="3">
        <v>1143.75</v>
      </c>
      <c r="N129" s="4">
        <v>0.22186566586733439</v>
      </c>
      <c r="O129" s="5" t="s">
        <v>157</v>
      </c>
      <c r="P129" s="5" t="s">
        <v>9</v>
      </c>
      <c r="Q129" s="5" t="s">
        <v>158</v>
      </c>
      <c r="R129" s="2">
        <v>46216</v>
      </c>
      <c r="S129" s="5" t="s">
        <v>128</v>
      </c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 spans="2:33" hidden="1" x14ac:dyDescent="0.35">
      <c r="B130" s="5" t="s">
        <v>9</v>
      </c>
      <c r="C130" s="1">
        <v>741</v>
      </c>
      <c r="D130" s="5" t="s">
        <v>118</v>
      </c>
      <c r="E130" s="5" t="s">
        <v>49</v>
      </c>
      <c r="F130" s="6">
        <v>10.71</v>
      </c>
      <c r="G130" s="1">
        <v>10.09</v>
      </c>
      <c r="H130" s="2">
        <v>46092</v>
      </c>
      <c r="I130" s="15">
        <f ca="1">TODAY()-Base_Relatório[[#This Row],[Plantio]]</f>
        <v>147</v>
      </c>
      <c r="J130" s="2">
        <v>46205</v>
      </c>
      <c r="K130" s="14"/>
      <c r="L130" s="14"/>
      <c r="M130" s="3">
        <v>1143.75</v>
      </c>
      <c r="N130" s="4">
        <v>0.15473522305701645</v>
      </c>
      <c r="O130" s="5" t="s">
        <v>156</v>
      </c>
      <c r="P130" s="5" t="s">
        <v>9</v>
      </c>
      <c r="Q130" s="5" t="s">
        <v>15</v>
      </c>
      <c r="R130" s="2">
        <v>46205</v>
      </c>
      <c r="S130" s="5" t="s">
        <v>128</v>
      </c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 spans="2:33" hidden="1" x14ac:dyDescent="0.35">
      <c r="B131" s="5" t="s">
        <v>9</v>
      </c>
      <c r="C131" s="1">
        <v>741</v>
      </c>
      <c r="D131" s="5" t="s">
        <v>118</v>
      </c>
      <c r="E131" s="5" t="s">
        <v>52</v>
      </c>
      <c r="F131" s="6">
        <v>8.1</v>
      </c>
      <c r="G131" s="1">
        <v>7.79</v>
      </c>
      <c r="H131" s="2">
        <v>46094</v>
      </c>
      <c r="I131" s="15">
        <f ca="1">TODAY()-Base_Relatório[[#This Row],[Plantio]]</f>
        <v>145</v>
      </c>
      <c r="J131" s="2">
        <v>46205</v>
      </c>
      <c r="K131" s="14"/>
      <c r="L131" s="14"/>
      <c r="M131" s="3">
        <v>1191.6666666666667</v>
      </c>
      <c r="N131" s="4">
        <v>0.17112403111513388</v>
      </c>
      <c r="O131" s="5" t="s">
        <v>156</v>
      </c>
      <c r="P131" s="5" t="s">
        <v>9</v>
      </c>
      <c r="Q131" s="5" t="s">
        <v>15</v>
      </c>
      <c r="R131" s="2">
        <v>46205</v>
      </c>
      <c r="S131" s="5" t="s">
        <v>128</v>
      </c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 spans="2:33" hidden="1" x14ac:dyDescent="0.35">
      <c r="B132" s="5" t="s">
        <v>9</v>
      </c>
      <c r="C132" s="1">
        <v>741</v>
      </c>
      <c r="D132" s="5" t="s">
        <v>118</v>
      </c>
      <c r="E132" s="5" t="s">
        <v>54</v>
      </c>
      <c r="F132" s="6">
        <v>7.9</v>
      </c>
      <c r="G132" s="1">
        <v>8.1300000000000008</v>
      </c>
      <c r="H132" s="2">
        <v>46094</v>
      </c>
      <c r="I132" s="15">
        <f ca="1">TODAY()-Base_Relatório[[#This Row],[Plantio]]</f>
        <v>145</v>
      </c>
      <c r="J132" s="2">
        <v>46205</v>
      </c>
      <c r="K132" s="14"/>
      <c r="L132" s="14"/>
      <c r="M132" s="3">
        <v>1141.6666666666667</v>
      </c>
      <c r="N132" s="4">
        <v>0.14307552096897683</v>
      </c>
      <c r="O132" s="5" t="s">
        <v>160</v>
      </c>
      <c r="P132" s="5" t="s">
        <v>9</v>
      </c>
      <c r="Q132" s="5" t="s">
        <v>15</v>
      </c>
      <c r="R132" s="2">
        <v>46205</v>
      </c>
      <c r="S132" s="5" t="s">
        <v>128</v>
      </c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 spans="2:33" hidden="1" x14ac:dyDescent="0.35">
      <c r="B133" s="5" t="s">
        <v>9</v>
      </c>
      <c r="C133" s="1">
        <v>741</v>
      </c>
      <c r="D133" s="5" t="s">
        <v>118</v>
      </c>
      <c r="E133" s="5" t="s">
        <v>57</v>
      </c>
      <c r="F133" s="6">
        <v>8.8000000000000007</v>
      </c>
      <c r="G133" s="1">
        <v>7.84</v>
      </c>
      <c r="H133" s="2">
        <v>46094</v>
      </c>
      <c r="I133" s="15">
        <f ca="1">TODAY()-Base_Relatório[[#This Row],[Plantio]]</f>
        <v>145</v>
      </c>
      <c r="J133" s="2">
        <v>46205</v>
      </c>
      <c r="K133" s="14"/>
      <c r="L133" s="14"/>
      <c r="M133" s="3">
        <v>1158.3333333333333</v>
      </c>
      <c r="N133" s="4">
        <v>0.14292377598178962</v>
      </c>
      <c r="O133" s="5" t="s">
        <v>160</v>
      </c>
      <c r="P133" s="5" t="s">
        <v>9</v>
      </c>
      <c r="Q133" s="5" t="s">
        <v>15</v>
      </c>
      <c r="R133" s="2">
        <v>46205</v>
      </c>
      <c r="S133" s="5" t="s">
        <v>128</v>
      </c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 spans="2:33" hidden="1" x14ac:dyDescent="0.35">
      <c r="B134" s="5" t="s">
        <v>9</v>
      </c>
      <c r="C134" s="1">
        <v>741</v>
      </c>
      <c r="D134" s="5" t="s">
        <v>118</v>
      </c>
      <c r="E134" s="5" t="s">
        <v>84</v>
      </c>
      <c r="F134" s="6">
        <v>9.18</v>
      </c>
      <c r="G134" s="1">
        <v>8.6999999999999993</v>
      </c>
      <c r="H134" s="2">
        <v>46091</v>
      </c>
      <c r="I134" s="15">
        <f ca="1">TODAY()-Base_Relatório[[#This Row],[Plantio]]</f>
        <v>148</v>
      </c>
      <c r="J134" s="2">
        <v>46205</v>
      </c>
      <c r="K134" s="14"/>
      <c r="L134" s="14"/>
      <c r="M134" s="3">
        <v>1191.6666666666667</v>
      </c>
      <c r="N134" s="4">
        <v>0.12677509119131028</v>
      </c>
      <c r="O134" s="5" t="s">
        <v>160</v>
      </c>
      <c r="P134" s="5" t="s">
        <v>9</v>
      </c>
      <c r="Q134" s="5" t="s">
        <v>15</v>
      </c>
      <c r="R134" s="2">
        <v>46205</v>
      </c>
      <c r="S134" s="5" t="s">
        <v>128</v>
      </c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 spans="2:33" hidden="1" x14ac:dyDescent="0.35">
      <c r="B135" s="5" t="s">
        <v>9</v>
      </c>
      <c r="C135" s="1">
        <v>741</v>
      </c>
      <c r="D135" s="5" t="s">
        <v>118</v>
      </c>
      <c r="E135" s="5" t="s">
        <v>33</v>
      </c>
      <c r="F135" s="6">
        <v>7.51</v>
      </c>
      <c r="G135" s="1">
        <v>7.09</v>
      </c>
      <c r="H135" s="2">
        <v>46092</v>
      </c>
      <c r="I135" s="15">
        <f ca="1">TODAY()-Base_Relatório[[#This Row],[Plantio]]</f>
        <v>147</v>
      </c>
      <c r="J135" s="2">
        <v>46205</v>
      </c>
      <c r="K135" s="14"/>
      <c r="L135" s="14"/>
      <c r="M135" s="3">
        <v>1150</v>
      </c>
      <c r="N135" s="4">
        <v>0.14178860269563653</v>
      </c>
      <c r="O135" s="5" t="s">
        <v>160</v>
      </c>
      <c r="P135" s="5" t="s">
        <v>9</v>
      </c>
      <c r="Q135" s="5" t="s">
        <v>15</v>
      </c>
      <c r="R135" s="2">
        <v>46205</v>
      </c>
      <c r="S135" s="5" t="s">
        <v>128</v>
      </c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 spans="2:33" hidden="1" x14ac:dyDescent="0.35">
      <c r="B136" s="5" t="s">
        <v>9</v>
      </c>
      <c r="C136" s="1">
        <v>741</v>
      </c>
      <c r="D136" s="5" t="s">
        <v>118</v>
      </c>
      <c r="E136" s="5" t="s">
        <v>85</v>
      </c>
      <c r="F136" s="6">
        <v>8.41</v>
      </c>
      <c r="G136" s="1">
        <v>7.86</v>
      </c>
      <c r="H136" s="2">
        <v>46086</v>
      </c>
      <c r="I136" s="15">
        <f ca="1">TODAY()-Base_Relatório[[#This Row],[Plantio]]</f>
        <v>153</v>
      </c>
      <c r="J136" s="2">
        <v>46205</v>
      </c>
      <c r="K136" s="14"/>
      <c r="L136" s="14"/>
      <c r="M136" s="3">
        <v>1193.75</v>
      </c>
      <c r="N136" s="4">
        <v>0.19139228643482795</v>
      </c>
      <c r="O136" s="5" t="s">
        <v>156</v>
      </c>
      <c r="P136" s="5" t="s">
        <v>9</v>
      </c>
      <c r="Q136" s="5" t="s">
        <v>15</v>
      </c>
      <c r="R136" s="2">
        <v>46205</v>
      </c>
      <c r="S136" s="5" t="s">
        <v>128</v>
      </c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 spans="2:33" hidden="1" x14ac:dyDescent="0.35">
      <c r="B137" s="5" t="s">
        <v>9</v>
      </c>
      <c r="C137" s="1">
        <v>741</v>
      </c>
      <c r="D137" s="5" t="s">
        <v>118</v>
      </c>
      <c r="E137" s="5" t="s">
        <v>34</v>
      </c>
      <c r="F137" s="6">
        <v>15.01</v>
      </c>
      <c r="G137" s="1">
        <v>14.45</v>
      </c>
      <c r="H137" s="2">
        <v>46090</v>
      </c>
      <c r="I137" s="15">
        <f ca="1">TODAY()-Base_Relatório[[#This Row],[Plantio]]</f>
        <v>149</v>
      </c>
      <c r="J137" s="2">
        <v>46205</v>
      </c>
      <c r="K137" s="14"/>
      <c r="L137" s="14"/>
      <c r="M137" s="3">
        <v>1166.6666666666667</v>
      </c>
      <c r="N137" s="4">
        <v>0.11455062486590967</v>
      </c>
      <c r="O137" s="5" t="s">
        <v>160</v>
      </c>
      <c r="P137" s="5" t="s">
        <v>9</v>
      </c>
      <c r="Q137" s="5" t="s">
        <v>15</v>
      </c>
      <c r="R137" s="2">
        <v>46205</v>
      </c>
      <c r="S137" s="5" t="s">
        <v>128</v>
      </c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 spans="2:33" hidden="1" x14ac:dyDescent="0.35">
      <c r="B138" s="5" t="s">
        <v>9</v>
      </c>
      <c r="C138" s="1">
        <v>741</v>
      </c>
      <c r="D138" s="5" t="s">
        <v>118</v>
      </c>
      <c r="E138" s="5" t="s">
        <v>35</v>
      </c>
      <c r="F138" s="6">
        <v>12.57</v>
      </c>
      <c r="G138" s="1">
        <v>12.01</v>
      </c>
      <c r="H138" s="2">
        <v>46091</v>
      </c>
      <c r="I138" s="15">
        <f ca="1">TODAY()-Base_Relatório[[#This Row],[Plantio]]</f>
        <v>148</v>
      </c>
      <c r="J138" s="2">
        <v>46205</v>
      </c>
      <c r="K138" s="14"/>
      <c r="L138" s="14"/>
      <c r="M138" s="3">
        <v>1175</v>
      </c>
      <c r="N138" s="4">
        <v>0.11225464411450518</v>
      </c>
      <c r="O138" s="5" t="s">
        <v>160</v>
      </c>
      <c r="P138" s="5" t="s">
        <v>9</v>
      </c>
      <c r="Q138" s="5" t="s">
        <v>15</v>
      </c>
      <c r="R138" s="2">
        <v>46205</v>
      </c>
      <c r="S138" s="5" t="s">
        <v>128</v>
      </c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 spans="2:33" hidden="1" x14ac:dyDescent="0.35">
      <c r="B139" s="5" t="s">
        <v>9</v>
      </c>
      <c r="C139" s="1">
        <v>741</v>
      </c>
      <c r="D139" s="5" t="s">
        <v>118</v>
      </c>
      <c r="E139" s="5" t="s">
        <v>13</v>
      </c>
      <c r="F139" s="6">
        <v>11.99</v>
      </c>
      <c r="G139" s="1">
        <v>10.6</v>
      </c>
      <c r="H139" s="2">
        <v>46096</v>
      </c>
      <c r="I139" s="15">
        <f ca="1">TODAY()-Base_Relatório[[#This Row],[Plantio]]</f>
        <v>143</v>
      </c>
      <c r="J139" s="2">
        <v>46216</v>
      </c>
      <c r="K139" s="14"/>
      <c r="L139" s="14"/>
      <c r="M139" s="3">
        <v>1090</v>
      </c>
      <c r="N139" s="4">
        <v>0.15902132507912456</v>
      </c>
      <c r="O139" s="5" t="s">
        <v>156</v>
      </c>
      <c r="P139" s="5" t="s">
        <v>12</v>
      </c>
      <c r="Q139" s="5" t="s">
        <v>15</v>
      </c>
      <c r="R139" s="2">
        <v>46216</v>
      </c>
      <c r="S139" s="5" t="s">
        <v>128</v>
      </c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 spans="2:33" hidden="1" x14ac:dyDescent="0.35">
      <c r="B140" s="5" t="s">
        <v>9</v>
      </c>
      <c r="C140" s="1">
        <v>741</v>
      </c>
      <c r="D140" s="5" t="s">
        <v>118</v>
      </c>
      <c r="E140" s="5" t="s">
        <v>55</v>
      </c>
      <c r="F140" s="6">
        <v>7.01</v>
      </c>
      <c r="G140" s="1">
        <v>6.49</v>
      </c>
      <c r="H140" s="2">
        <v>46097</v>
      </c>
      <c r="I140" s="15">
        <f ca="1">TODAY()-Base_Relatório[[#This Row],[Plantio]]</f>
        <v>142</v>
      </c>
      <c r="J140" s="2">
        <v>46216</v>
      </c>
      <c r="K140" s="14"/>
      <c r="L140" s="14"/>
      <c r="M140" s="3">
        <v>1125</v>
      </c>
      <c r="N140" s="4">
        <v>0.21273628990566595</v>
      </c>
      <c r="O140" s="5" t="s">
        <v>157</v>
      </c>
      <c r="P140" s="5" t="s">
        <v>9</v>
      </c>
      <c r="Q140" s="5" t="s">
        <v>158</v>
      </c>
      <c r="R140" s="2">
        <v>46216</v>
      </c>
      <c r="S140" s="5" t="s">
        <v>128</v>
      </c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 spans="2:33" hidden="1" x14ac:dyDescent="0.35">
      <c r="B141" s="5" t="s">
        <v>9</v>
      </c>
      <c r="C141" s="1">
        <v>741</v>
      </c>
      <c r="D141" s="5" t="s">
        <v>118</v>
      </c>
      <c r="E141" s="5" t="s">
        <v>46</v>
      </c>
      <c r="F141" s="6">
        <v>9.48</v>
      </c>
      <c r="G141" s="1">
        <v>8.82</v>
      </c>
      <c r="H141" s="2">
        <v>46097</v>
      </c>
      <c r="I141" s="15">
        <f ca="1">TODAY()-Base_Relatório[[#This Row],[Plantio]]</f>
        <v>142</v>
      </c>
      <c r="J141" s="2">
        <v>46205</v>
      </c>
      <c r="K141" s="14"/>
      <c r="L141" s="14"/>
      <c r="M141" s="3">
        <v>1162.5</v>
      </c>
      <c r="N141" s="4">
        <v>8.6791664403174318E-2</v>
      </c>
      <c r="O141" s="5" t="s">
        <v>185</v>
      </c>
      <c r="P141" s="5" t="s">
        <v>9</v>
      </c>
      <c r="Q141" s="5" t="s">
        <v>15</v>
      </c>
      <c r="R141" s="2">
        <v>46205</v>
      </c>
      <c r="S141" s="5" t="s">
        <v>128</v>
      </c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 spans="2:33" hidden="1" x14ac:dyDescent="0.35">
      <c r="B142" s="5" t="s">
        <v>9</v>
      </c>
      <c r="C142" s="1">
        <v>741</v>
      </c>
      <c r="D142" s="5" t="s">
        <v>118</v>
      </c>
      <c r="E142" s="5" t="s">
        <v>56</v>
      </c>
      <c r="F142" s="6">
        <v>8.25</v>
      </c>
      <c r="G142" s="1">
        <v>7.77</v>
      </c>
      <c r="H142" s="2">
        <v>46096</v>
      </c>
      <c r="I142" s="15">
        <f ca="1">TODAY()-Base_Relatório[[#This Row],[Plantio]]</f>
        <v>143</v>
      </c>
      <c r="J142" s="2">
        <v>46216</v>
      </c>
      <c r="K142" s="14"/>
      <c r="L142" s="14"/>
      <c r="M142" s="3">
        <v>1108.3333333333333</v>
      </c>
      <c r="N142" s="4">
        <v>0.18385854706336505</v>
      </c>
      <c r="O142" s="5" t="s">
        <v>156</v>
      </c>
      <c r="P142" s="5" t="s">
        <v>9</v>
      </c>
      <c r="Q142" s="5" t="s">
        <v>15</v>
      </c>
      <c r="R142" s="2">
        <v>46216</v>
      </c>
      <c r="S142" s="5" t="s">
        <v>128</v>
      </c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 spans="2:33" hidden="1" x14ac:dyDescent="0.35">
      <c r="B143" s="5" t="s">
        <v>9</v>
      </c>
      <c r="C143" s="1">
        <v>741</v>
      </c>
      <c r="D143" s="5" t="s">
        <v>118</v>
      </c>
      <c r="E143" s="5" t="s">
        <v>27</v>
      </c>
      <c r="F143" s="6">
        <v>5.03</v>
      </c>
      <c r="G143" s="1">
        <v>4.79</v>
      </c>
      <c r="H143" s="2">
        <v>46099</v>
      </c>
      <c r="I143" s="15">
        <f ca="1">TODAY()-Base_Relatório[[#This Row],[Plantio]]</f>
        <v>140</v>
      </c>
      <c r="J143" s="2">
        <v>46216</v>
      </c>
      <c r="K143" s="14"/>
      <c r="L143" s="14"/>
      <c r="M143" s="3">
        <v>1083.3333333333333</v>
      </c>
      <c r="N143" s="4">
        <v>0.15927092117489278</v>
      </c>
      <c r="O143" s="5" t="s">
        <v>156</v>
      </c>
      <c r="P143" s="5" t="s">
        <v>12</v>
      </c>
      <c r="Q143" s="5" t="s">
        <v>15</v>
      </c>
      <c r="R143" s="2">
        <v>46216</v>
      </c>
      <c r="S143" s="5" t="s">
        <v>128</v>
      </c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 spans="2:33" hidden="1" x14ac:dyDescent="0.35">
      <c r="B144" s="5" t="s">
        <v>9</v>
      </c>
      <c r="C144" s="1">
        <v>741</v>
      </c>
      <c r="D144" s="5" t="s">
        <v>118</v>
      </c>
      <c r="E144" s="5" t="s">
        <v>28</v>
      </c>
      <c r="F144" s="6">
        <v>11.45</v>
      </c>
      <c r="G144" s="1">
        <v>11.15</v>
      </c>
      <c r="H144" s="2">
        <v>46099</v>
      </c>
      <c r="I144" s="15">
        <f ca="1">TODAY()-Base_Relatório[[#This Row],[Plantio]]</f>
        <v>140</v>
      </c>
      <c r="J144" s="2">
        <v>46216</v>
      </c>
      <c r="K144" s="14"/>
      <c r="L144" s="14"/>
      <c r="M144" s="3">
        <v>1131.25</v>
      </c>
      <c r="N144" s="4">
        <v>0.19089523055352645</v>
      </c>
      <c r="O144" s="5" t="s">
        <v>156</v>
      </c>
      <c r="P144" s="5" t="s">
        <v>9</v>
      </c>
      <c r="Q144" s="5" t="s">
        <v>15</v>
      </c>
      <c r="R144" s="2">
        <v>46216</v>
      </c>
      <c r="S144" s="5" t="s">
        <v>128</v>
      </c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 spans="2:33" hidden="1" x14ac:dyDescent="0.35">
      <c r="B145" s="5" t="s">
        <v>9</v>
      </c>
      <c r="C145" s="1">
        <v>741</v>
      </c>
      <c r="D145" s="5" t="s">
        <v>118</v>
      </c>
      <c r="E145" s="5" t="s">
        <v>29</v>
      </c>
      <c r="F145" s="6">
        <v>8.51</v>
      </c>
      <c r="G145" s="1">
        <v>8.1300000000000008</v>
      </c>
      <c r="H145" s="2">
        <v>46099</v>
      </c>
      <c r="I145" s="15">
        <f ca="1">TODAY()-Base_Relatório[[#This Row],[Plantio]]</f>
        <v>140</v>
      </c>
      <c r="J145" s="2">
        <v>46216</v>
      </c>
      <c r="K145" s="14"/>
      <c r="L145" s="14"/>
      <c r="M145" s="3">
        <v>1141.6666666666667</v>
      </c>
      <c r="N145" s="4">
        <v>0.20834056059849224</v>
      </c>
      <c r="O145" s="5" t="s">
        <v>157</v>
      </c>
      <c r="P145" s="5" t="s">
        <v>9</v>
      </c>
      <c r="Q145" s="5" t="s">
        <v>158</v>
      </c>
      <c r="R145" s="2">
        <v>46216</v>
      </c>
      <c r="S145" s="5" t="s">
        <v>128</v>
      </c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 spans="2:33" x14ac:dyDescent="0.35">
      <c r="B146" s="5" t="s">
        <v>9</v>
      </c>
      <c r="C146" s="1">
        <v>759</v>
      </c>
      <c r="D146" s="5" t="s">
        <v>119</v>
      </c>
      <c r="E146" s="5" t="s">
        <v>17</v>
      </c>
      <c r="F146" s="6">
        <v>24.84</v>
      </c>
      <c r="G146" s="1">
        <v>23.55</v>
      </c>
      <c r="H146" s="2">
        <v>46087</v>
      </c>
      <c r="I146" s="15">
        <f ca="1">TODAY()-Base_Relatório[[#This Row],[Plantio]]</f>
        <v>152</v>
      </c>
      <c r="J146" s="2">
        <v>46218</v>
      </c>
      <c r="K146" s="14"/>
      <c r="L146" s="14"/>
      <c r="M146" s="3">
        <v>1122.2222222222222</v>
      </c>
      <c r="N146" s="4">
        <v>0.20907254165268943</v>
      </c>
      <c r="O146" s="5" t="s">
        <v>157</v>
      </c>
      <c r="P146" s="5" t="s">
        <v>9</v>
      </c>
      <c r="Q146" s="5" t="s">
        <v>158</v>
      </c>
      <c r="R146" s="2">
        <v>46233</v>
      </c>
      <c r="S146" s="5" t="s">
        <v>127</v>
      </c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 spans="2:33" x14ac:dyDescent="0.35">
      <c r="B147" s="5" t="s">
        <v>9</v>
      </c>
      <c r="C147" s="1">
        <v>759</v>
      </c>
      <c r="D147" s="5" t="s">
        <v>119</v>
      </c>
      <c r="E147" s="5" t="s">
        <v>20</v>
      </c>
      <c r="F147" s="6">
        <v>27.54</v>
      </c>
      <c r="H147" s="2">
        <v>46108</v>
      </c>
      <c r="I147" s="15">
        <f ca="1">TODAY()-Base_Relatório[[#This Row],[Plantio]]</f>
        <v>131</v>
      </c>
      <c r="J147" s="2">
        <v>46218</v>
      </c>
      <c r="K147" s="14"/>
      <c r="L147" s="14"/>
      <c r="M147" s="3"/>
      <c r="N147" s="4"/>
      <c r="O147" s="5" t="s">
        <v>21</v>
      </c>
      <c r="P147" s="5" t="s">
        <v>21</v>
      </c>
      <c r="Q147" s="5" t="s">
        <v>21</v>
      </c>
      <c r="R147" s="2">
        <v>46233</v>
      </c>
      <c r="S147" s="5" t="s">
        <v>127</v>
      </c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 spans="2:33" x14ac:dyDescent="0.35">
      <c r="B148" s="5" t="s">
        <v>9</v>
      </c>
      <c r="C148" s="1">
        <v>759</v>
      </c>
      <c r="D148" s="5" t="s">
        <v>119</v>
      </c>
      <c r="E148" s="5" t="s">
        <v>22</v>
      </c>
      <c r="F148" s="6">
        <v>17.14</v>
      </c>
      <c r="H148" s="2">
        <v>46113</v>
      </c>
      <c r="I148" s="15">
        <f ca="1">TODAY()-Base_Relatório[[#This Row],[Plantio]]</f>
        <v>126</v>
      </c>
      <c r="J148" s="2">
        <v>46218</v>
      </c>
      <c r="K148" s="14"/>
      <c r="L148" s="14"/>
      <c r="M148" s="3"/>
      <c r="N148" s="4"/>
      <c r="O148" s="5" t="s">
        <v>21</v>
      </c>
      <c r="P148" s="5" t="s">
        <v>21</v>
      </c>
      <c r="Q148" s="5" t="s">
        <v>21</v>
      </c>
      <c r="R148" s="2">
        <v>46233</v>
      </c>
      <c r="S148" s="5" t="s">
        <v>127</v>
      </c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 spans="2:33" x14ac:dyDescent="0.35">
      <c r="B149" s="5" t="s">
        <v>9</v>
      </c>
      <c r="C149" s="1">
        <v>759</v>
      </c>
      <c r="D149" s="5" t="s">
        <v>119</v>
      </c>
      <c r="E149" s="5" t="s">
        <v>23</v>
      </c>
      <c r="F149" s="6">
        <v>4.5</v>
      </c>
      <c r="H149" s="2">
        <v>46113</v>
      </c>
      <c r="I149" s="15">
        <f ca="1">TODAY()-Base_Relatório[[#This Row],[Plantio]]</f>
        <v>126</v>
      </c>
      <c r="J149" s="2">
        <v>46218</v>
      </c>
      <c r="K149" s="14"/>
      <c r="L149" s="14"/>
      <c r="M149" s="3"/>
      <c r="N149" s="4"/>
      <c r="O149" s="5" t="s">
        <v>21</v>
      </c>
      <c r="P149" s="5" t="s">
        <v>21</v>
      </c>
      <c r="Q149" s="5" t="s">
        <v>21</v>
      </c>
      <c r="R149" s="2">
        <v>46233</v>
      </c>
      <c r="S149" s="5" t="s">
        <v>127</v>
      </c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 spans="2:33" x14ac:dyDescent="0.35">
      <c r="B150" s="5" t="s">
        <v>9</v>
      </c>
      <c r="C150" s="1">
        <v>759</v>
      </c>
      <c r="D150" s="5" t="s">
        <v>119</v>
      </c>
      <c r="E150" s="5" t="s">
        <v>24</v>
      </c>
      <c r="F150" s="6">
        <v>5.07</v>
      </c>
      <c r="H150" s="2">
        <v>46114</v>
      </c>
      <c r="I150" s="15">
        <f ca="1">TODAY()-Base_Relatório[[#This Row],[Plantio]]</f>
        <v>125</v>
      </c>
      <c r="J150" s="2">
        <v>46218</v>
      </c>
      <c r="K150" s="14"/>
      <c r="L150" s="14"/>
      <c r="M150" s="3"/>
      <c r="N150" s="4"/>
      <c r="O150" s="5" t="s">
        <v>21</v>
      </c>
      <c r="P150" s="5" t="s">
        <v>21</v>
      </c>
      <c r="Q150" s="5" t="s">
        <v>21</v>
      </c>
      <c r="R150" s="2">
        <v>46233</v>
      </c>
      <c r="S150" s="5" t="s">
        <v>127</v>
      </c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 spans="2:33" x14ac:dyDescent="0.35">
      <c r="B151" s="5" t="s">
        <v>9</v>
      </c>
      <c r="C151" s="1">
        <v>759</v>
      </c>
      <c r="D151" s="5" t="s">
        <v>119</v>
      </c>
      <c r="E151" s="5" t="s">
        <v>54</v>
      </c>
      <c r="F151" s="6">
        <v>16.16</v>
      </c>
      <c r="G151" s="1">
        <v>15.38</v>
      </c>
      <c r="H151" s="2">
        <v>46090</v>
      </c>
      <c r="I151" s="15">
        <f ca="1">TODAY()-Base_Relatório[[#This Row],[Plantio]]</f>
        <v>149</v>
      </c>
      <c r="J151" s="2">
        <v>46218</v>
      </c>
      <c r="K151" s="14"/>
      <c r="L151" s="14"/>
      <c r="M151" s="3">
        <v>1120.8333333333333</v>
      </c>
      <c r="N151" s="4">
        <v>0.23084121050525547</v>
      </c>
      <c r="O151" s="5" t="s">
        <v>157</v>
      </c>
      <c r="P151" s="5" t="s">
        <v>9</v>
      </c>
      <c r="Q151" s="5" t="s">
        <v>158</v>
      </c>
      <c r="R151" s="2">
        <v>46233</v>
      </c>
      <c r="S151" s="5" t="s">
        <v>127</v>
      </c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 spans="2:33" x14ac:dyDescent="0.35">
      <c r="B152" s="5" t="s">
        <v>9</v>
      </c>
      <c r="C152" s="1">
        <v>759</v>
      </c>
      <c r="D152" s="5" t="s">
        <v>119</v>
      </c>
      <c r="E152" s="5" t="s">
        <v>13</v>
      </c>
      <c r="F152" s="6">
        <v>32.56</v>
      </c>
      <c r="G152" s="1">
        <v>31.94</v>
      </c>
      <c r="H152" s="2">
        <v>46092</v>
      </c>
      <c r="I152" s="15">
        <f ca="1">TODAY()-Base_Relatório[[#This Row],[Plantio]]</f>
        <v>147</v>
      </c>
      <c r="J152" s="2">
        <v>46218</v>
      </c>
      <c r="K152" s="14"/>
      <c r="L152" s="14"/>
      <c r="M152" s="3">
        <v>1127.2727272727273</v>
      </c>
      <c r="N152" s="4">
        <v>0.18119427545084801</v>
      </c>
      <c r="O152" s="5" t="s">
        <v>156</v>
      </c>
      <c r="P152" s="5" t="s">
        <v>9</v>
      </c>
      <c r="Q152" s="5" t="s">
        <v>15</v>
      </c>
      <c r="R152" s="2">
        <v>46233</v>
      </c>
      <c r="S152" s="5" t="s">
        <v>127</v>
      </c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 spans="2:33" x14ac:dyDescent="0.35">
      <c r="B153" s="5" t="s">
        <v>9</v>
      </c>
      <c r="C153" s="1">
        <v>759</v>
      </c>
      <c r="D153" s="5" t="s">
        <v>119</v>
      </c>
      <c r="E153" s="5" t="s">
        <v>55</v>
      </c>
      <c r="F153" s="6">
        <v>19.71</v>
      </c>
      <c r="G153" s="1">
        <v>18.260000000000002</v>
      </c>
      <c r="H153" s="2">
        <v>46094</v>
      </c>
      <c r="I153" s="15">
        <f ca="1">TODAY()-Base_Relatório[[#This Row],[Plantio]]</f>
        <v>145</v>
      </c>
      <c r="J153" s="2">
        <v>46218</v>
      </c>
      <c r="K153" s="14"/>
      <c r="L153" s="14"/>
      <c r="M153" s="3">
        <v>1110.7142857142858</v>
      </c>
      <c r="N153" s="4">
        <v>0.3000609568303495</v>
      </c>
      <c r="O153" s="5" t="s">
        <v>161</v>
      </c>
      <c r="P153" s="5" t="s">
        <v>9</v>
      </c>
      <c r="Q153" s="5" t="s">
        <v>158</v>
      </c>
      <c r="R153" s="2">
        <v>46233</v>
      </c>
      <c r="S153" s="5" t="s">
        <v>127</v>
      </c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 spans="2:33" x14ac:dyDescent="0.35">
      <c r="B154" s="5" t="s">
        <v>9</v>
      </c>
      <c r="C154" s="1">
        <v>759</v>
      </c>
      <c r="D154" s="5" t="s">
        <v>119</v>
      </c>
      <c r="E154" s="5" t="s">
        <v>46</v>
      </c>
      <c r="F154" s="6">
        <v>16.420000000000002</v>
      </c>
      <c r="G154" s="1">
        <v>13.56</v>
      </c>
      <c r="H154" s="2">
        <v>46097</v>
      </c>
      <c r="I154" s="15">
        <f ca="1">TODAY()-Base_Relatório[[#This Row],[Plantio]]</f>
        <v>142</v>
      </c>
      <c r="J154" s="2">
        <v>46218</v>
      </c>
      <c r="K154" s="14"/>
      <c r="L154" s="14"/>
      <c r="M154" s="3">
        <v>1179.1666666666667</v>
      </c>
      <c r="N154" s="4">
        <v>0.19690631224211083</v>
      </c>
      <c r="O154" s="5" t="s">
        <v>156</v>
      </c>
      <c r="P154" s="5" t="s">
        <v>9</v>
      </c>
      <c r="Q154" s="5" t="s">
        <v>15</v>
      </c>
      <c r="R154" s="2">
        <v>46233</v>
      </c>
      <c r="S154" s="5" t="s">
        <v>127</v>
      </c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 spans="2:33" x14ac:dyDescent="0.35">
      <c r="B155" s="5" t="s">
        <v>9</v>
      </c>
      <c r="C155" s="1">
        <v>759</v>
      </c>
      <c r="D155" s="5" t="s">
        <v>119</v>
      </c>
      <c r="E155" s="5" t="s">
        <v>56</v>
      </c>
      <c r="F155" s="6">
        <v>10.55</v>
      </c>
      <c r="G155" s="1">
        <v>9.51</v>
      </c>
      <c r="H155" s="2">
        <v>46098</v>
      </c>
      <c r="I155" s="15">
        <f ca="1">TODAY()-Base_Relatório[[#This Row],[Plantio]]</f>
        <v>141</v>
      </c>
      <c r="J155" s="2">
        <v>46218</v>
      </c>
      <c r="K155" s="14"/>
      <c r="L155" s="14"/>
      <c r="M155" s="3">
        <v>1156.25</v>
      </c>
      <c r="N155" s="4">
        <v>0.36471607989674409</v>
      </c>
      <c r="O155" s="5" t="s">
        <v>162</v>
      </c>
      <c r="P155" s="5" t="s">
        <v>9</v>
      </c>
      <c r="Q155" s="5" t="s">
        <v>158</v>
      </c>
      <c r="R155" s="2">
        <v>46233</v>
      </c>
      <c r="S155" s="5" t="s">
        <v>127</v>
      </c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 spans="2:33" x14ac:dyDescent="0.35">
      <c r="B156" s="5" t="s">
        <v>9</v>
      </c>
      <c r="C156" s="1">
        <v>759</v>
      </c>
      <c r="D156" s="5" t="s">
        <v>119</v>
      </c>
      <c r="E156" s="5" t="s">
        <v>27</v>
      </c>
      <c r="F156" s="6">
        <v>3.73</v>
      </c>
      <c r="G156" s="1">
        <v>3.41</v>
      </c>
      <c r="H156" s="2">
        <v>46098</v>
      </c>
      <c r="I156" s="15">
        <f ca="1">TODAY()-Base_Relatório[[#This Row],[Plantio]]</f>
        <v>141</v>
      </c>
      <c r="J156" s="2">
        <v>46218</v>
      </c>
      <c r="K156" s="14"/>
      <c r="L156" s="14"/>
      <c r="M156" s="3">
        <v>1183.3333333333333</v>
      </c>
      <c r="N156" s="4">
        <v>0.16837029642873458</v>
      </c>
      <c r="O156" s="5" t="s">
        <v>156</v>
      </c>
      <c r="P156" s="5" t="s">
        <v>9</v>
      </c>
      <c r="Q156" s="5" t="s">
        <v>15</v>
      </c>
      <c r="R156" s="2">
        <v>46233</v>
      </c>
      <c r="S156" s="5" t="s">
        <v>127</v>
      </c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 spans="2:33" x14ac:dyDescent="0.35">
      <c r="B157" s="5" t="s">
        <v>9</v>
      </c>
      <c r="C157" s="1">
        <v>759</v>
      </c>
      <c r="D157" s="5" t="s">
        <v>119</v>
      </c>
      <c r="E157" s="5" t="s">
        <v>28</v>
      </c>
      <c r="F157" s="6">
        <v>18.41</v>
      </c>
      <c r="G157" s="1">
        <v>17.14</v>
      </c>
      <c r="H157" s="2">
        <v>46100</v>
      </c>
      <c r="I157" s="15">
        <f ca="1">TODAY()-Base_Relatório[[#This Row],[Plantio]]</f>
        <v>139</v>
      </c>
      <c r="J157" s="2">
        <v>46218</v>
      </c>
      <c r="K157" s="14"/>
      <c r="L157" s="14"/>
      <c r="M157" s="3">
        <v>1153.5714285714287</v>
      </c>
      <c r="N157" s="4">
        <v>0.24292506614988518</v>
      </c>
      <c r="O157" s="5" t="s">
        <v>157</v>
      </c>
      <c r="P157" s="5" t="s">
        <v>9</v>
      </c>
      <c r="Q157" s="5" t="s">
        <v>158</v>
      </c>
      <c r="R157" s="2">
        <v>46233</v>
      </c>
      <c r="S157" s="5" t="s">
        <v>127</v>
      </c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 spans="2:33" x14ac:dyDescent="0.35">
      <c r="B158" s="5" t="s">
        <v>9</v>
      </c>
      <c r="C158" s="1">
        <v>759</v>
      </c>
      <c r="D158" s="5" t="s">
        <v>119</v>
      </c>
      <c r="E158" s="5" t="s">
        <v>29</v>
      </c>
      <c r="F158" s="6">
        <v>14.8</v>
      </c>
      <c r="G158" s="1">
        <v>13.5</v>
      </c>
      <c r="H158" s="2">
        <v>46099</v>
      </c>
      <c r="I158" s="15">
        <f ca="1">TODAY()-Base_Relatório[[#This Row],[Plantio]]</f>
        <v>140</v>
      </c>
      <c r="J158" s="2">
        <v>46218</v>
      </c>
      <c r="K158" s="14"/>
      <c r="L158" s="14"/>
      <c r="M158" s="3">
        <v>1133.3333333333333</v>
      </c>
      <c r="N158" s="4">
        <v>0.2503445796103938</v>
      </c>
      <c r="O158" s="5" t="s">
        <v>159</v>
      </c>
      <c r="P158" s="5" t="s">
        <v>9</v>
      </c>
      <c r="Q158" s="5" t="s">
        <v>158</v>
      </c>
      <c r="R158" s="2">
        <v>46233</v>
      </c>
      <c r="S158" s="5" t="s">
        <v>127</v>
      </c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 spans="2:33" hidden="1" x14ac:dyDescent="0.35">
      <c r="B159" s="5" t="s">
        <v>9</v>
      </c>
      <c r="C159" s="1">
        <v>761</v>
      </c>
      <c r="D159" s="5" t="s">
        <v>120</v>
      </c>
      <c r="E159" s="5" t="s">
        <v>20</v>
      </c>
      <c r="F159" s="6">
        <v>4.79</v>
      </c>
      <c r="H159" s="2">
        <v>46112</v>
      </c>
      <c r="I159" s="15">
        <f ca="1">TODAY()-Base_Relatório[[#This Row],[Plantio]]</f>
        <v>127</v>
      </c>
      <c r="J159" s="2">
        <v>46232</v>
      </c>
      <c r="K159" s="14"/>
      <c r="L159" s="14"/>
      <c r="M159" s="3"/>
      <c r="N159" s="4"/>
      <c r="O159" s="5" t="s">
        <v>21</v>
      </c>
      <c r="P159" s="5" t="s">
        <v>21</v>
      </c>
      <c r="Q159" s="5" t="s">
        <v>21</v>
      </c>
      <c r="R159" s="2">
        <v>46233</v>
      </c>
      <c r="S159" s="5" t="s">
        <v>128</v>
      </c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 spans="2:33" hidden="1" x14ac:dyDescent="0.35">
      <c r="B160" s="5" t="s">
        <v>9</v>
      </c>
      <c r="C160" s="1">
        <v>761</v>
      </c>
      <c r="D160" s="5" t="s">
        <v>120</v>
      </c>
      <c r="E160" s="5" t="s">
        <v>22</v>
      </c>
      <c r="F160" s="6">
        <v>10.08</v>
      </c>
      <c r="G160" s="1">
        <v>9.94</v>
      </c>
      <c r="H160" s="2">
        <v>46102</v>
      </c>
      <c r="I160" s="15">
        <f ca="1">TODAY()-Base_Relatório[[#This Row],[Plantio]]</f>
        <v>137</v>
      </c>
      <c r="J160" s="2">
        <v>46232</v>
      </c>
      <c r="K160" s="14"/>
      <c r="L160" s="14"/>
      <c r="M160" s="3">
        <v>1175</v>
      </c>
      <c r="N160" s="4">
        <v>0.22758674939788112</v>
      </c>
      <c r="O160" s="5" t="s">
        <v>157</v>
      </c>
      <c r="P160" s="5" t="s">
        <v>9</v>
      </c>
      <c r="Q160" s="5" t="s">
        <v>158</v>
      </c>
      <c r="R160" s="2">
        <v>46233</v>
      </c>
      <c r="S160" s="5" t="s">
        <v>128</v>
      </c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 spans="2:33" hidden="1" x14ac:dyDescent="0.35">
      <c r="B161" s="5" t="s">
        <v>9</v>
      </c>
      <c r="C161" s="1">
        <v>761</v>
      </c>
      <c r="D161" s="5" t="s">
        <v>120</v>
      </c>
      <c r="E161" s="5" t="s">
        <v>23</v>
      </c>
      <c r="F161" s="6">
        <v>10.92</v>
      </c>
      <c r="G161" s="1">
        <v>10.66</v>
      </c>
      <c r="H161" s="2">
        <v>46102</v>
      </c>
      <c r="I161" s="15">
        <f ca="1">TODAY()-Base_Relatório[[#This Row],[Plantio]]</f>
        <v>137</v>
      </c>
      <c r="J161" s="2">
        <v>46232</v>
      </c>
      <c r="K161" s="14"/>
      <c r="L161" s="14"/>
      <c r="M161" s="3">
        <v>1162.5</v>
      </c>
      <c r="N161" s="4">
        <v>0.2398004321373142</v>
      </c>
      <c r="O161" s="5" t="s">
        <v>157</v>
      </c>
      <c r="P161" s="5" t="s">
        <v>9</v>
      </c>
      <c r="Q161" s="5" t="s">
        <v>158</v>
      </c>
      <c r="R161" s="2">
        <v>46233</v>
      </c>
      <c r="S161" s="5" t="s">
        <v>128</v>
      </c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 spans="2:33" hidden="1" x14ac:dyDescent="0.35">
      <c r="B162" s="5" t="s">
        <v>9</v>
      </c>
      <c r="C162" s="1">
        <v>761</v>
      </c>
      <c r="D162" s="5" t="s">
        <v>120</v>
      </c>
      <c r="E162" s="5" t="s">
        <v>24</v>
      </c>
      <c r="F162" s="6">
        <v>15.83</v>
      </c>
      <c r="H162" s="2">
        <v>46112</v>
      </c>
      <c r="I162" s="15">
        <f ca="1">TODAY()-Base_Relatório[[#This Row],[Plantio]]</f>
        <v>127</v>
      </c>
      <c r="J162" s="2">
        <v>46232</v>
      </c>
      <c r="K162" s="14"/>
      <c r="L162" s="14"/>
      <c r="M162" s="3"/>
      <c r="N162" s="4"/>
      <c r="O162" s="5" t="s">
        <v>21</v>
      </c>
      <c r="P162" s="5" t="s">
        <v>21</v>
      </c>
      <c r="Q162" s="5" t="s">
        <v>21</v>
      </c>
      <c r="R162" s="2">
        <v>46233</v>
      </c>
      <c r="S162" s="5" t="s">
        <v>128</v>
      </c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 spans="2:33" hidden="1" x14ac:dyDescent="0.35">
      <c r="B163" s="5" t="s">
        <v>9</v>
      </c>
      <c r="C163" s="1">
        <v>761</v>
      </c>
      <c r="D163" s="5" t="s">
        <v>120</v>
      </c>
      <c r="E163" s="5" t="s">
        <v>31</v>
      </c>
      <c r="F163" s="6">
        <v>9.27</v>
      </c>
      <c r="H163" s="2">
        <v>46114</v>
      </c>
      <c r="I163" s="15">
        <f ca="1">TODAY()-Base_Relatório[[#This Row],[Plantio]]</f>
        <v>125</v>
      </c>
      <c r="J163" s="2">
        <v>46232</v>
      </c>
      <c r="K163" s="14"/>
      <c r="L163" s="14"/>
      <c r="M163" s="3"/>
      <c r="N163" s="4"/>
      <c r="O163" s="5" t="s">
        <v>21</v>
      </c>
      <c r="P163" s="5" t="s">
        <v>21</v>
      </c>
      <c r="Q163" s="5" t="s">
        <v>21</v>
      </c>
      <c r="R163" s="2">
        <v>46233</v>
      </c>
      <c r="S163" s="5" t="s">
        <v>128</v>
      </c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 spans="2:33" hidden="1" x14ac:dyDescent="0.35">
      <c r="B164" s="5" t="s">
        <v>9</v>
      </c>
      <c r="C164" s="1">
        <v>761</v>
      </c>
      <c r="D164" s="5" t="s">
        <v>120</v>
      </c>
      <c r="E164" s="5" t="s">
        <v>11</v>
      </c>
      <c r="F164" s="6">
        <v>7.19</v>
      </c>
      <c r="H164" s="2">
        <v>46114</v>
      </c>
      <c r="I164" s="15">
        <f ca="1">TODAY()-Base_Relatório[[#This Row],[Plantio]]</f>
        <v>125</v>
      </c>
      <c r="J164" s="2">
        <v>46232</v>
      </c>
      <c r="K164" s="14"/>
      <c r="L164" s="14"/>
      <c r="M164" s="3"/>
      <c r="N164" s="4"/>
      <c r="O164" s="5" t="s">
        <v>21</v>
      </c>
      <c r="P164" s="5" t="s">
        <v>21</v>
      </c>
      <c r="Q164" s="5" t="s">
        <v>21</v>
      </c>
      <c r="R164" s="2">
        <v>46233</v>
      </c>
      <c r="S164" s="5" t="s">
        <v>128</v>
      </c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 spans="2:33" hidden="1" x14ac:dyDescent="0.35">
      <c r="B165" s="5" t="s">
        <v>9</v>
      </c>
      <c r="C165" s="1">
        <v>761</v>
      </c>
      <c r="D165" s="5" t="s">
        <v>120</v>
      </c>
      <c r="E165" s="5" t="s">
        <v>26</v>
      </c>
      <c r="F165" s="6">
        <v>18.18</v>
      </c>
      <c r="H165" s="2">
        <v>46119</v>
      </c>
      <c r="I165" s="15">
        <f ca="1">TODAY()-Base_Relatório[[#This Row],[Plantio]]</f>
        <v>120</v>
      </c>
      <c r="J165" s="2">
        <v>46232</v>
      </c>
      <c r="K165" s="14"/>
      <c r="L165" s="14"/>
      <c r="M165" s="3"/>
      <c r="N165" s="4"/>
      <c r="O165" s="5" t="s">
        <v>21</v>
      </c>
      <c r="P165" s="5" t="s">
        <v>21</v>
      </c>
      <c r="Q165" s="5" t="s">
        <v>21</v>
      </c>
      <c r="R165" s="2">
        <v>46233</v>
      </c>
      <c r="S165" s="5" t="s">
        <v>128</v>
      </c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 spans="2:33" hidden="1" x14ac:dyDescent="0.35">
      <c r="B166" s="5" t="s">
        <v>9</v>
      </c>
      <c r="C166" s="1">
        <v>761</v>
      </c>
      <c r="D166" s="5" t="s">
        <v>120</v>
      </c>
      <c r="E166" s="5" t="s">
        <v>49</v>
      </c>
      <c r="F166" s="6">
        <v>20.2</v>
      </c>
      <c r="H166" s="2">
        <v>46120</v>
      </c>
      <c r="I166" s="15">
        <f ca="1">TODAY()-Base_Relatório[[#This Row],[Plantio]]</f>
        <v>119</v>
      </c>
      <c r="J166" s="2">
        <v>46232</v>
      </c>
      <c r="K166" s="14"/>
      <c r="L166" s="14"/>
      <c r="M166" s="3"/>
      <c r="N166" s="4"/>
      <c r="O166" s="5" t="s">
        <v>21</v>
      </c>
      <c r="P166" s="5" t="s">
        <v>21</v>
      </c>
      <c r="Q166" s="5" t="s">
        <v>21</v>
      </c>
      <c r="R166" s="2">
        <v>46233</v>
      </c>
      <c r="S166" s="5" t="s">
        <v>128</v>
      </c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 spans="2:33" hidden="1" x14ac:dyDescent="0.35">
      <c r="B167" s="5" t="s">
        <v>9</v>
      </c>
      <c r="C167" s="1">
        <v>761</v>
      </c>
      <c r="D167" s="5" t="s">
        <v>120</v>
      </c>
      <c r="E167" s="5" t="s">
        <v>52</v>
      </c>
      <c r="F167" s="6">
        <v>8.56</v>
      </c>
      <c r="H167" s="2">
        <v>46125</v>
      </c>
      <c r="I167" s="15">
        <f ca="1">TODAY()-Base_Relatório[[#This Row],[Plantio]]</f>
        <v>114</v>
      </c>
      <c r="J167" s="2">
        <v>46232</v>
      </c>
      <c r="K167" s="14"/>
      <c r="L167" s="14"/>
      <c r="M167" s="3"/>
      <c r="N167" s="4"/>
      <c r="O167" s="5" t="s">
        <v>21</v>
      </c>
      <c r="P167" s="5" t="s">
        <v>21</v>
      </c>
      <c r="Q167" s="5" t="s">
        <v>21</v>
      </c>
      <c r="R167" s="2">
        <v>46233</v>
      </c>
      <c r="S167" s="5" t="s">
        <v>128</v>
      </c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 spans="2:33" hidden="1" x14ac:dyDescent="0.35">
      <c r="B168" s="5" t="s">
        <v>9</v>
      </c>
      <c r="C168" s="1">
        <v>761</v>
      </c>
      <c r="D168" s="5" t="s">
        <v>120</v>
      </c>
      <c r="E168" s="5" t="s">
        <v>57</v>
      </c>
      <c r="F168" s="6">
        <v>5.78</v>
      </c>
      <c r="H168" s="2">
        <v>46125</v>
      </c>
      <c r="I168" s="15">
        <f ca="1">TODAY()-Base_Relatório[[#This Row],[Plantio]]</f>
        <v>114</v>
      </c>
      <c r="J168" s="2">
        <v>46232</v>
      </c>
      <c r="K168" s="14"/>
      <c r="L168" s="14"/>
      <c r="M168" s="3"/>
      <c r="N168" s="4"/>
      <c r="O168" s="5" t="s">
        <v>21</v>
      </c>
      <c r="P168" s="5" t="s">
        <v>21</v>
      </c>
      <c r="Q168" s="5" t="s">
        <v>21</v>
      </c>
      <c r="R168" s="2">
        <v>46233</v>
      </c>
      <c r="S168" s="5" t="s">
        <v>128</v>
      </c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 spans="2:33" hidden="1" x14ac:dyDescent="0.35">
      <c r="B169" s="5" t="s">
        <v>9</v>
      </c>
      <c r="C169" s="1">
        <v>761</v>
      </c>
      <c r="D169" s="5" t="s">
        <v>120</v>
      </c>
      <c r="E169" s="5" t="s">
        <v>84</v>
      </c>
      <c r="F169" s="6">
        <v>14.24</v>
      </c>
      <c r="H169" s="2">
        <v>46123</v>
      </c>
      <c r="I169" s="15">
        <f ca="1">TODAY()-Base_Relatório[[#This Row],[Plantio]]</f>
        <v>116</v>
      </c>
      <c r="J169" s="2">
        <v>46232</v>
      </c>
      <c r="K169" s="14"/>
      <c r="L169" s="14"/>
      <c r="M169" s="3"/>
      <c r="N169" s="4"/>
      <c r="O169" s="5" t="s">
        <v>21</v>
      </c>
      <c r="P169" s="5" t="s">
        <v>21</v>
      </c>
      <c r="Q169" s="5" t="s">
        <v>21</v>
      </c>
      <c r="R169" s="2">
        <v>46233</v>
      </c>
      <c r="S169" s="5" t="s">
        <v>128</v>
      </c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 spans="2:33" hidden="1" x14ac:dyDescent="0.35">
      <c r="B170" s="5" t="s">
        <v>9</v>
      </c>
      <c r="C170" s="1">
        <v>761</v>
      </c>
      <c r="D170" s="5" t="s">
        <v>120</v>
      </c>
      <c r="E170" s="5" t="s">
        <v>33</v>
      </c>
      <c r="F170" s="6">
        <v>12.2</v>
      </c>
      <c r="H170" s="2">
        <v>46122</v>
      </c>
      <c r="I170" s="15">
        <f ca="1">TODAY()-Base_Relatório[[#This Row],[Plantio]]</f>
        <v>117</v>
      </c>
      <c r="J170" s="2">
        <v>46232</v>
      </c>
      <c r="K170" s="14"/>
      <c r="L170" s="14"/>
      <c r="M170" s="3"/>
      <c r="N170" s="4"/>
      <c r="O170" s="5" t="s">
        <v>21</v>
      </c>
      <c r="P170" s="5" t="s">
        <v>21</v>
      </c>
      <c r="Q170" s="5" t="s">
        <v>21</v>
      </c>
      <c r="R170" s="2">
        <v>46233</v>
      </c>
      <c r="S170" s="5" t="s">
        <v>128</v>
      </c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 spans="2:33" hidden="1" x14ac:dyDescent="0.35">
      <c r="B171" s="5" t="s">
        <v>9</v>
      </c>
      <c r="C171" s="1">
        <v>761</v>
      </c>
      <c r="D171" s="5" t="s">
        <v>120</v>
      </c>
      <c r="E171" s="5" t="s">
        <v>85</v>
      </c>
      <c r="F171" s="6">
        <v>8.7200000000000006</v>
      </c>
      <c r="H171" s="2">
        <v>46121</v>
      </c>
      <c r="I171" s="15">
        <f ca="1">TODAY()-Base_Relatório[[#This Row],[Plantio]]</f>
        <v>118</v>
      </c>
      <c r="J171" s="2">
        <v>46232</v>
      </c>
      <c r="K171" s="14"/>
      <c r="L171" s="14"/>
      <c r="M171" s="3"/>
      <c r="N171" s="4"/>
      <c r="O171" s="5" t="s">
        <v>21</v>
      </c>
      <c r="P171" s="5" t="s">
        <v>21</v>
      </c>
      <c r="Q171" s="5" t="s">
        <v>21</v>
      </c>
      <c r="R171" s="2">
        <v>46233</v>
      </c>
      <c r="S171" s="5" t="s">
        <v>128</v>
      </c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 spans="2:33" hidden="1" x14ac:dyDescent="0.35">
      <c r="B172" s="5" t="s">
        <v>9</v>
      </c>
      <c r="C172" s="1">
        <v>761</v>
      </c>
      <c r="D172" s="5" t="s">
        <v>120</v>
      </c>
      <c r="E172" s="5" t="s">
        <v>13</v>
      </c>
      <c r="F172" s="6">
        <v>23.6</v>
      </c>
      <c r="G172" s="1">
        <v>22.72</v>
      </c>
      <c r="H172" s="2">
        <v>46106</v>
      </c>
      <c r="I172" s="15">
        <f ca="1">TODAY()-Base_Relatório[[#This Row],[Plantio]]</f>
        <v>133</v>
      </c>
      <c r="J172" s="2">
        <v>46232</v>
      </c>
      <c r="K172" s="14"/>
      <c r="L172" s="14"/>
      <c r="M172" s="3">
        <v>1071.875</v>
      </c>
      <c r="N172" s="4"/>
      <c r="O172" s="5" t="s">
        <v>21</v>
      </c>
      <c r="P172" s="5" t="s">
        <v>12</v>
      </c>
      <c r="Q172" s="5" t="s">
        <v>21</v>
      </c>
      <c r="R172" s="2">
        <v>46233</v>
      </c>
      <c r="S172" s="5" t="s">
        <v>128</v>
      </c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 spans="2:33" hidden="1" x14ac:dyDescent="0.35">
      <c r="B173" s="5" t="s">
        <v>9</v>
      </c>
      <c r="C173" s="1">
        <v>761</v>
      </c>
      <c r="D173" s="5" t="s">
        <v>120</v>
      </c>
      <c r="E173" s="5" t="s">
        <v>55</v>
      </c>
      <c r="F173" s="6">
        <v>30.84</v>
      </c>
      <c r="H173" s="2">
        <v>46111</v>
      </c>
      <c r="I173" s="15">
        <f ca="1">TODAY()-Base_Relatório[[#This Row],[Plantio]]</f>
        <v>128</v>
      </c>
      <c r="J173" s="2">
        <v>46232</v>
      </c>
      <c r="K173" s="14"/>
      <c r="L173" s="14"/>
      <c r="M173" s="3"/>
      <c r="N173" s="4"/>
      <c r="O173" s="5" t="s">
        <v>21</v>
      </c>
      <c r="P173" s="5" t="s">
        <v>21</v>
      </c>
      <c r="Q173" s="5" t="s">
        <v>21</v>
      </c>
      <c r="R173" s="2">
        <v>46233</v>
      </c>
      <c r="S173" s="5" t="s">
        <v>128</v>
      </c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 spans="2:33" hidden="1" x14ac:dyDescent="0.35">
      <c r="B174" s="5" t="s">
        <v>9</v>
      </c>
      <c r="C174" s="1">
        <v>761</v>
      </c>
      <c r="D174" s="5" t="s">
        <v>120</v>
      </c>
      <c r="E174" s="5" t="s">
        <v>46</v>
      </c>
      <c r="F174" s="6">
        <v>34.46</v>
      </c>
      <c r="G174" s="1">
        <v>34.03</v>
      </c>
      <c r="H174" s="2">
        <v>46107</v>
      </c>
      <c r="I174" s="15">
        <f ca="1">TODAY()-Base_Relatório[[#This Row],[Plantio]]</f>
        <v>132</v>
      </c>
      <c r="J174" s="2">
        <v>46232</v>
      </c>
      <c r="K174" s="14"/>
      <c r="L174" s="14"/>
      <c r="M174" s="3">
        <v>1135.4166666666667</v>
      </c>
      <c r="N174" s="4"/>
      <c r="O174" s="5" t="s">
        <v>21</v>
      </c>
      <c r="P174" s="5" t="s">
        <v>9</v>
      </c>
      <c r="Q174" s="5" t="s">
        <v>21</v>
      </c>
      <c r="R174" s="2">
        <v>46233</v>
      </c>
      <c r="S174" s="5" t="s">
        <v>128</v>
      </c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 spans="2:33" hidden="1" x14ac:dyDescent="0.35">
      <c r="B175" s="5" t="s">
        <v>9</v>
      </c>
      <c r="C175" s="1">
        <v>761</v>
      </c>
      <c r="D175" s="5" t="s">
        <v>120</v>
      </c>
      <c r="E175" s="5" t="s">
        <v>56</v>
      </c>
      <c r="F175" s="6">
        <v>13.82</v>
      </c>
      <c r="G175" s="1">
        <v>13.08</v>
      </c>
      <c r="H175" s="2">
        <v>46109</v>
      </c>
      <c r="I175" s="15">
        <f ca="1">TODAY()-Base_Relatório[[#This Row],[Plantio]]</f>
        <v>130</v>
      </c>
      <c r="J175" s="2">
        <v>46232</v>
      </c>
      <c r="K175" s="14"/>
      <c r="L175" s="14"/>
      <c r="M175" s="3">
        <v>1155</v>
      </c>
      <c r="N175" s="4"/>
      <c r="O175" s="5" t="s">
        <v>21</v>
      </c>
      <c r="P175" s="5" t="s">
        <v>9</v>
      </c>
      <c r="Q175" s="5" t="s">
        <v>21</v>
      </c>
      <c r="R175" s="2">
        <v>46233</v>
      </c>
      <c r="S175" s="5" t="s">
        <v>128</v>
      </c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 spans="2:33" hidden="1" x14ac:dyDescent="0.35">
      <c r="B176" s="5" t="s">
        <v>9</v>
      </c>
      <c r="C176" s="1">
        <v>761</v>
      </c>
      <c r="D176" s="5" t="s">
        <v>120</v>
      </c>
      <c r="E176" s="5" t="s">
        <v>27</v>
      </c>
      <c r="F176" s="6">
        <v>10.99</v>
      </c>
      <c r="G176" s="1">
        <v>10.95</v>
      </c>
      <c r="H176" s="2">
        <v>46103</v>
      </c>
      <c r="I176" s="15">
        <f ca="1">TODAY()-Base_Relatório[[#This Row],[Plantio]]</f>
        <v>136</v>
      </c>
      <c r="J176" s="2">
        <v>46232</v>
      </c>
      <c r="K176" s="14"/>
      <c r="L176" s="14"/>
      <c r="M176" s="3">
        <v>1091.6666666666667</v>
      </c>
      <c r="N176" s="4">
        <v>0.14753756993761155</v>
      </c>
      <c r="O176" s="5" t="s">
        <v>160</v>
      </c>
      <c r="P176" s="5" t="s">
        <v>12</v>
      </c>
      <c r="Q176" s="5" t="s">
        <v>15</v>
      </c>
      <c r="R176" s="2">
        <v>46233</v>
      </c>
      <c r="S176" s="5" t="s">
        <v>128</v>
      </c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 spans="2:33" hidden="1" x14ac:dyDescent="0.35">
      <c r="B177" s="5" t="s">
        <v>9</v>
      </c>
      <c r="C177" s="1">
        <v>761</v>
      </c>
      <c r="D177" s="5" t="s">
        <v>120</v>
      </c>
      <c r="E177" s="5" t="s">
        <v>28</v>
      </c>
      <c r="F177" s="6">
        <v>8.35</v>
      </c>
      <c r="G177" s="1">
        <v>8.6199999999999992</v>
      </c>
      <c r="H177" s="2">
        <v>46102</v>
      </c>
      <c r="I177" s="15">
        <f ca="1">TODAY()-Base_Relatório[[#This Row],[Plantio]]</f>
        <v>137</v>
      </c>
      <c r="J177" s="2">
        <v>46232</v>
      </c>
      <c r="K177" s="14"/>
      <c r="L177" s="14"/>
      <c r="M177" s="3">
        <v>1183.3333333333333</v>
      </c>
      <c r="N177" s="4">
        <v>0.16222534048891554</v>
      </c>
      <c r="O177" s="5" t="s">
        <v>156</v>
      </c>
      <c r="P177" s="5" t="s">
        <v>9</v>
      </c>
      <c r="Q177" s="5" t="s">
        <v>15</v>
      </c>
      <c r="R177" s="2">
        <v>46233</v>
      </c>
      <c r="S177" s="5" t="s">
        <v>128</v>
      </c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 spans="2:33" hidden="1" x14ac:dyDescent="0.35">
      <c r="B178" s="5" t="s">
        <v>9</v>
      </c>
      <c r="C178" s="1">
        <v>761</v>
      </c>
      <c r="D178" s="5" t="s">
        <v>120</v>
      </c>
      <c r="E178" s="5" t="s">
        <v>29</v>
      </c>
      <c r="F178" s="6">
        <v>14.94</v>
      </c>
      <c r="G178" s="1">
        <v>14.22</v>
      </c>
      <c r="H178" s="2">
        <v>46101</v>
      </c>
      <c r="I178" s="15">
        <f ca="1">TODAY()-Base_Relatório[[#This Row],[Plantio]]</f>
        <v>138</v>
      </c>
      <c r="J178" s="2">
        <v>46232</v>
      </c>
      <c r="K178" s="14"/>
      <c r="L178" s="14"/>
      <c r="M178" s="3">
        <v>1181.25</v>
      </c>
      <c r="N178" s="4">
        <v>0.1446481054953381</v>
      </c>
      <c r="O178" s="5" t="s">
        <v>160</v>
      </c>
      <c r="P178" s="5" t="s">
        <v>9</v>
      </c>
      <c r="Q178" s="5" t="s">
        <v>15</v>
      </c>
      <c r="R178" s="2">
        <v>46233</v>
      </c>
      <c r="S178" s="5" t="s">
        <v>128</v>
      </c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 spans="2:33" hidden="1" x14ac:dyDescent="0.35">
      <c r="B179" s="5" t="s">
        <v>21</v>
      </c>
      <c r="C179" s="1">
        <v>134</v>
      </c>
      <c r="D179" s="5" t="s">
        <v>30</v>
      </c>
      <c r="E179" s="5" t="s">
        <v>20</v>
      </c>
      <c r="F179" s="6">
        <v>18.41</v>
      </c>
      <c r="H179" s="2">
        <v>46177</v>
      </c>
      <c r="I179" s="15">
        <f ca="1">TODAY()-Base_Relatório[[#This Row],[Plantio]]</f>
        <v>62</v>
      </c>
      <c r="K179" s="14">
        <v>46297</v>
      </c>
      <c r="L179" s="14" t="s">
        <v>189</v>
      </c>
      <c r="M179" s="3">
        <v>950</v>
      </c>
      <c r="N179" s="4">
        <v>0.20974888569089686</v>
      </c>
      <c r="O179" s="5" t="s">
        <v>157</v>
      </c>
      <c r="P179" s="5" t="s">
        <v>12</v>
      </c>
      <c r="Q179" s="5" t="s">
        <v>158</v>
      </c>
      <c r="R179" s="2"/>
      <c r="S179" s="5" t="s">
        <v>126</v>
      </c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 spans="2:33" hidden="1" x14ac:dyDescent="0.35">
      <c r="B180" s="5" t="s">
        <v>21</v>
      </c>
      <c r="C180" s="1">
        <v>134</v>
      </c>
      <c r="D180" s="5" t="s">
        <v>30</v>
      </c>
      <c r="E180" s="5" t="s">
        <v>22</v>
      </c>
      <c r="F180" s="6">
        <v>30.45</v>
      </c>
      <c r="H180" s="2">
        <v>46175</v>
      </c>
      <c r="I180" s="15">
        <f ca="1">TODAY()-Base_Relatório[[#This Row],[Plantio]]</f>
        <v>64</v>
      </c>
      <c r="K180" s="14">
        <v>46295</v>
      </c>
      <c r="L180" s="14" t="s">
        <v>189</v>
      </c>
      <c r="M180" s="3"/>
      <c r="N180" s="4"/>
      <c r="O180" s="5" t="s">
        <v>21</v>
      </c>
      <c r="P180" s="5" t="s">
        <v>21</v>
      </c>
      <c r="Q180" s="5" t="s">
        <v>21</v>
      </c>
      <c r="R180" s="2"/>
      <c r="S180" s="5" t="s">
        <v>126</v>
      </c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 spans="2:33" hidden="1" x14ac:dyDescent="0.35">
      <c r="B181" s="5" t="s">
        <v>21</v>
      </c>
      <c r="C181" s="1">
        <v>134</v>
      </c>
      <c r="D181" s="5" t="s">
        <v>30</v>
      </c>
      <c r="E181" s="5" t="s">
        <v>23</v>
      </c>
      <c r="F181" s="6">
        <v>20.93</v>
      </c>
      <c r="H181" s="2">
        <v>46185</v>
      </c>
      <c r="I181" s="15">
        <f ca="1">TODAY()-Base_Relatório[[#This Row],[Plantio]]</f>
        <v>54</v>
      </c>
      <c r="K181" s="14">
        <v>46305</v>
      </c>
      <c r="L181" s="14" t="s">
        <v>189</v>
      </c>
      <c r="M181" s="3">
        <v>1079.1666666666667</v>
      </c>
      <c r="N181" s="4">
        <v>0.20880140775206668</v>
      </c>
      <c r="O181" s="5" t="s">
        <v>157</v>
      </c>
      <c r="P181" s="5" t="s">
        <v>12</v>
      </c>
      <c r="Q181" s="5" t="s">
        <v>158</v>
      </c>
      <c r="R181" s="2"/>
      <c r="S181" s="5" t="s">
        <v>126</v>
      </c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 spans="2:33" hidden="1" x14ac:dyDescent="0.35">
      <c r="B182" s="5" t="s">
        <v>21</v>
      </c>
      <c r="C182" s="1">
        <v>134</v>
      </c>
      <c r="D182" s="5" t="s">
        <v>30</v>
      </c>
      <c r="E182" s="5" t="s">
        <v>24</v>
      </c>
      <c r="F182" s="6">
        <v>28.82</v>
      </c>
      <c r="H182" s="2">
        <v>46176</v>
      </c>
      <c r="I182" s="15">
        <f ca="1">TODAY()-Base_Relatório[[#This Row],[Plantio]]</f>
        <v>63</v>
      </c>
      <c r="K182" s="14">
        <v>46296</v>
      </c>
      <c r="L182" s="14" t="s">
        <v>189</v>
      </c>
      <c r="M182" s="3"/>
      <c r="N182" s="4"/>
      <c r="O182" s="5" t="s">
        <v>21</v>
      </c>
      <c r="P182" s="5" t="s">
        <v>21</v>
      </c>
      <c r="Q182" s="5" t="s">
        <v>21</v>
      </c>
      <c r="R182" s="2"/>
      <c r="S182" s="5" t="s">
        <v>126</v>
      </c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 spans="2:33" hidden="1" x14ac:dyDescent="0.35">
      <c r="B183" s="5" t="s">
        <v>21</v>
      </c>
      <c r="C183" s="1">
        <v>134</v>
      </c>
      <c r="D183" s="5" t="s">
        <v>30</v>
      </c>
      <c r="E183" s="5" t="s">
        <v>32</v>
      </c>
      <c r="F183" s="6">
        <v>29.09</v>
      </c>
      <c r="G183" s="1">
        <v>29.24</v>
      </c>
      <c r="H183" s="2">
        <v>46102</v>
      </c>
      <c r="I183" s="15">
        <f ca="1">TODAY()-Base_Relatório[[#This Row],[Plantio]]</f>
        <v>137</v>
      </c>
      <c r="K183" s="14">
        <v>46222</v>
      </c>
      <c r="L183" s="14" t="s">
        <v>190</v>
      </c>
      <c r="M183" s="3">
        <v>1082.5</v>
      </c>
      <c r="N183" s="4"/>
      <c r="O183" s="5" t="s">
        <v>21</v>
      </c>
      <c r="P183" s="5" t="s">
        <v>12</v>
      </c>
      <c r="Q183" s="5" t="s">
        <v>21</v>
      </c>
      <c r="R183" s="2"/>
      <c r="S183" s="5" t="s">
        <v>126</v>
      </c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 spans="2:33" hidden="1" x14ac:dyDescent="0.35">
      <c r="B184" s="5" t="s">
        <v>21</v>
      </c>
      <c r="C184" s="1">
        <v>134</v>
      </c>
      <c r="D184" s="5" t="s">
        <v>30</v>
      </c>
      <c r="E184" s="5" t="s">
        <v>26</v>
      </c>
      <c r="F184" s="6">
        <v>35</v>
      </c>
      <c r="H184" s="2">
        <v>46125</v>
      </c>
      <c r="I184" s="15">
        <f ca="1">TODAY()-Base_Relatório[[#This Row],[Plantio]]</f>
        <v>114</v>
      </c>
      <c r="K184" s="14">
        <v>46245</v>
      </c>
      <c r="L184" s="14" t="s">
        <v>189</v>
      </c>
      <c r="M184" s="3"/>
      <c r="N184" s="4"/>
      <c r="O184" s="5" t="s">
        <v>21</v>
      </c>
      <c r="P184" s="5" t="s">
        <v>21</v>
      </c>
      <c r="Q184" s="5" t="s">
        <v>21</v>
      </c>
      <c r="R184" s="2"/>
      <c r="S184" s="5" t="s">
        <v>126</v>
      </c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 spans="2:33" hidden="1" x14ac:dyDescent="0.35">
      <c r="B185" s="5" t="s">
        <v>21</v>
      </c>
      <c r="C185" s="1">
        <v>134</v>
      </c>
      <c r="D185" s="5" t="s">
        <v>30</v>
      </c>
      <c r="E185" s="5" t="s">
        <v>49</v>
      </c>
      <c r="F185" s="6">
        <v>41.12</v>
      </c>
      <c r="H185" s="2">
        <v>46154</v>
      </c>
      <c r="I185" s="15">
        <f ca="1">TODAY()-Base_Relatório[[#This Row],[Plantio]]</f>
        <v>85</v>
      </c>
      <c r="K185" s="14">
        <v>46274</v>
      </c>
      <c r="L185" s="14" t="s">
        <v>189</v>
      </c>
      <c r="M185" s="3"/>
      <c r="N185" s="4"/>
      <c r="O185" s="5" t="s">
        <v>21</v>
      </c>
      <c r="P185" s="5" t="s">
        <v>21</v>
      </c>
      <c r="Q185" s="5" t="s">
        <v>21</v>
      </c>
      <c r="R185" s="2"/>
      <c r="S185" s="5" t="s">
        <v>126</v>
      </c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 spans="2:33" hidden="1" x14ac:dyDescent="0.35">
      <c r="B186" s="5" t="s">
        <v>21</v>
      </c>
      <c r="C186" s="1">
        <v>134</v>
      </c>
      <c r="D186" s="5" t="s">
        <v>30</v>
      </c>
      <c r="E186" s="5" t="s">
        <v>52</v>
      </c>
      <c r="F186" s="6">
        <v>50.09</v>
      </c>
      <c r="H186" s="2">
        <v>46181</v>
      </c>
      <c r="I186" s="15">
        <f ca="1">TODAY()-Base_Relatório[[#This Row],[Plantio]]</f>
        <v>58</v>
      </c>
      <c r="K186" s="14">
        <v>46301</v>
      </c>
      <c r="L186" s="14" t="s">
        <v>189</v>
      </c>
      <c r="M186" s="3"/>
      <c r="N186" s="4"/>
      <c r="O186" s="5" t="s">
        <v>21</v>
      </c>
      <c r="P186" s="5" t="s">
        <v>21</v>
      </c>
      <c r="Q186" s="5" t="s">
        <v>21</v>
      </c>
      <c r="R186" s="2"/>
      <c r="S186" s="5" t="s">
        <v>126</v>
      </c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 spans="2:33" hidden="1" x14ac:dyDescent="0.35">
      <c r="B187" s="5" t="s">
        <v>21</v>
      </c>
      <c r="C187" s="1">
        <v>134</v>
      </c>
      <c r="D187" s="5" t="s">
        <v>30</v>
      </c>
      <c r="E187" s="5" t="s">
        <v>33</v>
      </c>
      <c r="F187" s="6">
        <v>36.5</v>
      </c>
      <c r="H187" s="2">
        <v>46121</v>
      </c>
      <c r="I187" s="15">
        <f ca="1">TODAY()-Base_Relatório[[#This Row],[Plantio]]</f>
        <v>118</v>
      </c>
      <c r="K187" s="14">
        <v>46241</v>
      </c>
      <c r="L187" s="14" t="s">
        <v>189</v>
      </c>
      <c r="M187" s="3"/>
      <c r="N187" s="4"/>
      <c r="O187" s="5" t="s">
        <v>21</v>
      </c>
      <c r="P187" s="5" t="s">
        <v>21</v>
      </c>
      <c r="Q187" s="5" t="s">
        <v>21</v>
      </c>
      <c r="R187" s="2"/>
      <c r="S187" s="5" t="s">
        <v>126</v>
      </c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 spans="2:33" hidden="1" x14ac:dyDescent="0.35">
      <c r="B188" s="5" t="s">
        <v>21</v>
      </c>
      <c r="C188" s="1">
        <v>134</v>
      </c>
      <c r="D188" s="5" t="s">
        <v>30</v>
      </c>
      <c r="E188" s="5" t="s">
        <v>85</v>
      </c>
      <c r="F188" s="6">
        <v>69.88</v>
      </c>
      <c r="H188" s="2">
        <v>46184</v>
      </c>
      <c r="I188" s="15">
        <f ca="1">TODAY()-Base_Relatório[[#This Row],[Plantio]]</f>
        <v>55</v>
      </c>
      <c r="K188" s="14">
        <v>46304</v>
      </c>
      <c r="L188" s="14" t="s">
        <v>189</v>
      </c>
      <c r="M188" s="3"/>
      <c r="N188" s="4"/>
      <c r="O188" s="5" t="s">
        <v>21</v>
      </c>
      <c r="P188" s="5" t="s">
        <v>21</v>
      </c>
      <c r="Q188" s="5" t="s">
        <v>21</v>
      </c>
      <c r="R188" s="2"/>
      <c r="S188" s="5" t="s">
        <v>126</v>
      </c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 spans="2:33" hidden="1" x14ac:dyDescent="0.35">
      <c r="B189" s="5" t="s">
        <v>21</v>
      </c>
      <c r="C189" s="1">
        <v>134</v>
      </c>
      <c r="D189" s="5" t="s">
        <v>30</v>
      </c>
      <c r="E189" s="5" t="s">
        <v>34</v>
      </c>
      <c r="F189" s="6">
        <v>54.97</v>
      </c>
      <c r="H189" s="2">
        <v>46128</v>
      </c>
      <c r="I189" s="15">
        <f ca="1">TODAY()-Base_Relatório[[#This Row],[Plantio]]</f>
        <v>111</v>
      </c>
      <c r="K189" s="14">
        <v>46248</v>
      </c>
      <c r="L189" s="14" t="s">
        <v>189</v>
      </c>
      <c r="M189" s="3"/>
      <c r="N189" s="4"/>
      <c r="O189" s="5" t="s">
        <v>21</v>
      </c>
      <c r="P189" s="5" t="s">
        <v>21</v>
      </c>
      <c r="Q189" s="5" t="s">
        <v>21</v>
      </c>
      <c r="R189" s="2"/>
      <c r="S189" s="5" t="s">
        <v>126</v>
      </c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 spans="2:33" hidden="1" x14ac:dyDescent="0.35">
      <c r="B190" s="5" t="s">
        <v>21</v>
      </c>
      <c r="C190" s="1">
        <v>134</v>
      </c>
      <c r="D190" s="5" t="s">
        <v>30</v>
      </c>
      <c r="E190" s="5" t="s">
        <v>35</v>
      </c>
      <c r="F190" s="6">
        <v>53.27</v>
      </c>
      <c r="H190" s="2">
        <v>46129</v>
      </c>
      <c r="I190" s="15">
        <f ca="1">TODAY()-Base_Relatório[[#This Row],[Plantio]]</f>
        <v>110</v>
      </c>
      <c r="K190" s="14">
        <v>46249</v>
      </c>
      <c r="L190" s="14" t="s">
        <v>189</v>
      </c>
      <c r="M190" s="3"/>
      <c r="N190" s="4"/>
      <c r="O190" s="5" t="s">
        <v>21</v>
      </c>
      <c r="P190" s="5" t="s">
        <v>21</v>
      </c>
      <c r="Q190" s="5" t="s">
        <v>21</v>
      </c>
      <c r="R190" s="2"/>
      <c r="S190" s="5" t="s">
        <v>126</v>
      </c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 spans="2:33" hidden="1" x14ac:dyDescent="0.35">
      <c r="B191" s="5" t="s">
        <v>21</v>
      </c>
      <c r="C191" s="1">
        <v>134</v>
      </c>
      <c r="D191" s="5" t="s">
        <v>30</v>
      </c>
      <c r="E191" s="5" t="s">
        <v>36</v>
      </c>
      <c r="F191" s="6">
        <v>42.86</v>
      </c>
      <c r="H191" s="2">
        <v>46130</v>
      </c>
      <c r="I191" s="15">
        <f ca="1">TODAY()-Base_Relatório[[#This Row],[Plantio]]</f>
        <v>109</v>
      </c>
      <c r="K191" s="14">
        <v>46250</v>
      </c>
      <c r="L191" s="14" t="s">
        <v>189</v>
      </c>
      <c r="M191" s="3"/>
      <c r="N191" s="4"/>
      <c r="O191" s="5" t="s">
        <v>21</v>
      </c>
      <c r="P191" s="5" t="s">
        <v>21</v>
      </c>
      <c r="Q191" s="5" t="s">
        <v>21</v>
      </c>
      <c r="R191" s="2"/>
      <c r="S191" s="5" t="s">
        <v>126</v>
      </c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 spans="2:33" hidden="1" x14ac:dyDescent="0.35">
      <c r="B192" s="5" t="s">
        <v>21</v>
      </c>
      <c r="C192" s="1">
        <v>134</v>
      </c>
      <c r="D192" s="5" t="s">
        <v>30</v>
      </c>
      <c r="E192" s="5" t="s">
        <v>37</v>
      </c>
      <c r="F192" s="6">
        <v>32.1</v>
      </c>
      <c r="H192" s="2">
        <v>46120</v>
      </c>
      <c r="I192" s="15">
        <f ca="1">TODAY()-Base_Relatório[[#This Row],[Plantio]]</f>
        <v>119</v>
      </c>
      <c r="K192" s="14">
        <v>46240</v>
      </c>
      <c r="L192" s="14" t="s">
        <v>189</v>
      </c>
      <c r="M192" s="3"/>
      <c r="N192" s="4"/>
      <c r="O192" s="5" t="s">
        <v>21</v>
      </c>
      <c r="P192" s="5" t="s">
        <v>21</v>
      </c>
      <c r="Q192" s="5" t="s">
        <v>21</v>
      </c>
      <c r="R192" s="2"/>
      <c r="S192" s="5" t="s">
        <v>126</v>
      </c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 spans="2:33" hidden="1" x14ac:dyDescent="0.35">
      <c r="B193" s="5" t="s">
        <v>21</v>
      </c>
      <c r="C193" s="1">
        <v>134</v>
      </c>
      <c r="D193" s="5" t="s">
        <v>30</v>
      </c>
      <c r="E193" s="5" t="s">
        <v>38</v>
      </c>
      <c r="F193" s="6">
        <v>24.9</v>
      </c>
      <c r="H193" s="2">
        <v>46121</v>
      </c>
      <c r="I193" s="15">
        <f ca="1">TODAY()-Base_Relatório[[#This Row],[Plantio]]</f>
        <v>118</v>
      </c>
      <c r="K193" s="14">
        <v>46241</v>
      </c>
      <c r="L193" s="14" t="s">
        <v>189</v>
      </c>
      <c r="M193" s="3"/>
      <c r="N193" s="4"/>
      <c r="O193" s="5" t="s">
        <v>21</v>
      </c>
      <c r="P193" s="5" t="s">
        <v>21</v>
      </c>
      <c r="Q193" s="5" t="s">
        <v>21</v>
      </c>
      <c r="R193" s="2"/>
      <c r="S193" s="5" t="s">
        <v>126</v>
      </c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 spans="2:33" hidden="1" x14ac:dyDescent="0.35">
      <c r="B194" s="5" t="s">
        <v>21</v>
      </c>
      <c r="C194" s="1">
        <v>134</v>
      </c>
      <c r="D194" s="5" t="s">
        <v>30</v>
      </c>
      <c r="E194" s="5" t="s">
        <v>39</v>
      </c>
      <c r="F194" s="6">
        <v>13.03</v>
      </c>
      <c r="G194" s="1">
        <v>13.01</v>
      </c>
      <c r="H194" s="2">
        <v>46105</v>
      </c>
      <c r="I194" s="15">
        <f ca="1">TODAY()-Base_Relatório[[#This Row],[Plantio]]</f>
        <v>134</v>
      </c>
      <c r="K194" s="14">
        <v>46225</v>
      </c>
      <c r="L194" s="14" t="s">
        <v>190</v>
      </c>
      <c r="M194" s="3">
        <v>1140</v>
      </c>
      <c r="N194" s="4"/>
      <c r="O194" s="5" t="s">
        <v>21</v>
      </c>
      <c r="P194" s="5" t="s">
        <v>9</v>
      </c>
      <c r="Q194" s="5" t="s">
        <v>21</v>
      </c>
      <c r="R194" s="2"/>
      <c r="S194" s="5" t="s">
        <v>126</v>
      </c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 spans="2:33" hidden="1" x14ac:dyDescent="0.35">
      <c r="B195" s="5" t="s">
        <v>21</v>
      </c>
      <c r="C195" s="1">
        <v>134</v>
      </c>
      <c r="D195" s="5" t="s">
        <v>30</v>
      </c>
      <c r="E195" s="5" t="s">
        <v>40</v>
      </c>
      <c r="F195" s="6">
        <v>38.549999999999997</v>
      </c>
      <c r="H195" s="2">
        <v>46112</v>
      </c>
      <c r="I195" s="15">
        <f ca="1">TODAY()-Base_Relatório[[#This Row],[Plantio]]</f>
        <v>127</v>
      </c>
      <c r="K195" s="14">
        <v>46232</v>
      </c>
      <c r="L195" s="14" t="s">
        <v>190</v>
      </c>
      <c r="M195" s="3"/>
      <c r="N195" s="4"/>
      <c r="O195" s="5" t="s">
        <v>21</v>
      </c>
      <c r="P195" s="5" t="s">
        <v>21</v>
      </c>
      <c r="Q195" s="5" t="s">
        <v>21</v>
      </c>
      <c r="R195" s="2"/>
      <c r="S195" s="5" t="s">
        <v>126</v>
      </c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 spans="2:33" hidden="1" x14ac:dyDescent="0.35">
      <c r="B196" s="5" t="s">
        <v>21</v>
      </c>
      <c r="C196" s="1">
        <v>134</v>
      </c>
      <c r="D196" s="5" t="s">
        <v>30</v>
      </c>
      <c r="E196" s="5" t="s">
        <v>41</v>
      </c>
      <c r="F196" s="6">
        <v>29.76</v>
      </c>
      <c r="H196" s="2">
        <v>46109</v>
      </c>
      <c r="I196" s="15">
        <f ca="1">TODAY()-Base_Relatório[[#This Row],[Plantio]]</f>
        <v>130</v>
      </c>
      <c r="K196" s="14">
        <v>46229</v>
      </c>
      <c r="L196" s="14" t="s">
        <v>190</v>
      </c>
      <c r="M196" s="3"/>
      <c r="N196" s="4"/>
      <c r="O196" s="5" t="s">
        <v>21</v>
      </c>
      <c r="P196" s="5" t="s">
        <v>21</v>
      </c>
      <c r="Q196" s="5" t="s">
        <v>21</v>
      </c>
      <c r="R196" s="2"/>
      <c r="S196" s="5" t="s">
        <v>126</v>
      </c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 spans="2:33" hidden="1" x14ac:dyDescent="0.35">
      <c r="B197" s="5" t="s">
        <v>21</v>
      </c>
      <c r="C197" s="1">
        <v>134</v>
      </c>
      <c r="D197" s="5" t="s">
        <v>30</v>
      </c>
      <c r="E197" s="5" t="s">
        <v>42</v>
      </c>
      <c r="F197" s="6">
        <v>10.75</v>
      </c>
      <c r="G197" s="1">
        <v>38.450000000000003</v>
      </c>
      <c r="H197" s="2">
        <v>46105</v>
      </c>
      <c r="I197" s="15">
        <f ca="1">TODAY()-Base_Relatório[[#This Row],[Plantio]]</f>
        <v>134</v>
      </c>
      <c r="K197" s="14">
        <v>46225</v>
      </c>
      <c r="L197" s="14" t="s">
        <v>190</v>
      </c>
      <c r="M197" s="3">
        <v>1221.4285714285713</v>
      </c>
      <c r="N197" s="4"/>
      <c r="O197" s="5" t="s">
        <v>21</v>
      </c>
      <c r="P197" s="5" t="s">
        <v>18</v>
      </c>
      <c r="Q197" s="5" t="s">
        <v>21</v>
      </c>
      <c r="R197" s="2"/>
      <c r="S197" s="5" t="s">
        <v>126</v>
      </c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 spans="2:33" hidden="1" x14ac:dyDescent="0.35">
      <c r="B198" s="5" t="s">
        <v>21</v>
      </c>
      <c r="C198" s="1">
        <v>134</v>
      </c>
      <c r="D198" s="5" t="s">
        <v>30</v>
      </c>
      <c r="E198" s="5" t="s">
        <v>43</v>
      </c>
      <c r="F198" s="6">
        <v>56.01</v>
      </c>
      <c r="H198" s="2">
        <v>46118</v>
      </c>
      <c r="I198" s="15">
        <f ca="1">TODAY()-Base_Relatório[[#This Row],[Plantio]]</f>
        <v>121</v>
      </c>
      <c r="K198" s="14">
        <v>46238</v>
      </c>
      <c r="L198" s="14" t="s">
        <v>189</v>
      </c>
      <c r="M198" s="3"/>
      <c r="N198" s="4"/>
      <c r="O198" s="5" t="s">
        <v>21</v>
      </c>
      <c r="P198" s="5" t="s">
        <v>21</v>
      </c>
      <c r="Q198" s="5" t="s">
        <v>21</v>
      </c>
      <c r="R198" s="2"/>
      <c r="S198" s="5" t="s">
        <v>126</v>
      </c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 spans="2:33" hidden="1" x14ac:dyDescent="0.35">
      <c r="B199" s="5" t="s">
        <v>21</v>
      </c>
      <c r="C199" s="1">
        <v>134</v>
      </c>
      <c r="D199" s="5" t="s">
        <v>30</v>
      </c>
      <c r="E199" s="5" t="s">
        <v>44</v>
      </c>
      <c r="F199" s="6">
        <v>38.71</v>
      </c>
      <c r="H199" s="2">
        <v>46126</v>
      </c>
      <c r="I199" s="15">
        <f ca="1">TODAY()-Base_Relatório[[#This Row],[Plantio]]</f>
        <v>113</v>
      </c>
      <c r="K199" s="14">
        <v>46246</v>
      </c>
      <c r="L199" s="14" t="s">
        <v>189</v>
      </c>
      <c r="M199" s="3"/>
      <c r="N199" s="4"/>
      <c r="O199" s="5" t="s">
        <v>21</v>
      </c>
      <c r="P199" s="5" t="s">
        <v>21</v>
      </c>
      <c r="Q199" s="5" t="s">
        <v>21</v>
      </c>
      <c r="R199" s="2"/>
      <c r="S199" s="5" t="s">
        <v>126</v>
      </c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 spans="2:33" hidden="1" x14ac:dyDescent="0.35">
      <c r="B200" s="5" t="s">
        <v>21</v>
      </c>
      <c r="C200" s="1">
        <v>134</v>
      </c>
      <c r="D200" s="5" t="s">
        <v>30</v>
      </c>
      <c r="E200" s="5" t="s">
        <v>45</v>
      </c>
      <c r="F200" s="6">
        <v>35.119999999999997</v>
      </c>
      <c r="H200" s="2">
        <v>46127</v>
      </c>
      <c r="I200" s="15">
        <f ca="1">TODAY()-Base_Relatório[[#This Row],[Plantio]]</f>
        <v>112</v>
      </c>
      <c r="K200" s="14">
        <v>46247</v>
      </c>
      <c r="L200" s="14" t="s">
        <v>189</v>
      </c>
      <c r="M200" s="3"/>
      <c r="N200" s="4"/>
      <c r="O200" s="5" t="s">
        <v>21</v>
      </c>
      <c r="P200" s="5" t="s">
        <v>21</v>
      </c>
      <c r="Q200" s="5" t="s">
        <v>21</v>
      </c>
      <c r="R200" s="2"/>
      <c r="S200" s="5" t="s">
        <v>126</v>
      </c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 spans="2:33" hidden="1" x14ac:dyDescent="0.35">
      <c r="B201" s="5" t="s">
        <v>21</v>
      </c>
      <c r="C201" s="1">
        <v>166</v>
      </c>
      <c r="D201" s="5" t="s">
        <v>47</v>
      </c>
      <c r="E201" s="5" t="s">
        <v>20</v>
      </c>
      <c r="F201" s="6">
        <v>12.82</v>
      </c>
      <c r="H201" s="2">
        <v>46125</v>
      </c>
      <c r="I201" s="15">
        <f ca="1">TODAY()-Base_Relatório[[#This Row],[Plantio]]</f>
        <v>114</v>
      </c>
      <c r="K201" s="14">
        <v>46245</v>
      </c>
      <c r="L201" s="14" t="s">
        <v>189</v>
      </c>
      <c r="M201" s="3"/>
      <c r="N201" s="4"/>
      <c r="O201" s="5" t="s">
        <v>21</v>
      </c>
      <c r="P201" s="5" t="s">
        <v>21</v>
      </c>
      <c r="Q201" s="5" t="s">
        <v>21</v>
      </c>
      <c r="R201" s="2"/>
      <c r="S201" s="5" t="s">
        <v>126</v>
      </c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 spans="2:33" hidden="1" x14ac:dyDescent="0.35">
      <c r="B202" s="5" t="s">
        <v>21</v>
      </c>
      <c r="C202" s="1">
        <v>166</v>
      </c>
      <c r="D202" s="5" t="s">
        <v>47</v>
      </c>
      <c r="E202" s="5" t="s">
        <v>22</v>
      </c>
      <c r="F202" s="6">
        <v>46.77</v>
      </c>
      <c r="G202" s="1">
        <v>46.25</v>
      </c>
      <c r="H202" s="2">
        <v>46093</v>
      </c>
      <c r="I202" s="15">
        <f ca="1">TODAY()-Base_Relatório[[#This Row],[Plantio]]</f>
        <v>146</v>
      </c>
      <c r="K202" s="14">
        <v>46213</v>
      </c>
      <c r="L202" s="14" t="s">
        <v>190</v>
      </c>
      <c r="M202" s="3">
        <v>1126.4705882352941</v>
      </c>
      <c r="N202" s="4">
        <v>0.17229294008235155</v>
      </c>
      <c r="O202" s="5" t="s">
        <v>156</v>
      </c>
      <c r="P202" s="5" t="s">
        <v>9</v>
      </c>
      <c r="Q202" s="5" t="s">
        <v>15</v>
      </c>
      <c r="R202" s="2"/>
      <c r="S202" s="5" t="s">
        <v>126</v>
      </c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 spans="2:33" hidden="1" x14ac:dyDescent="0.35">
      <c r="B203" s="5" t="s">
        <v>21</v>
      </c>
      <c r="C203" s="1">
        <v>166</v>
      </c>
      <c r="D203" s="5" t="s">
        <v>47</v>
      </c>
      <c r="E203" s="5" t="s">
        <v>23</v>
      </c>
      <c r="F203" s="6">
        <v>53.79</v>
      </c>
      <c r="G203" s="1">
        <v>52.17</v>
      </c>
      <c r="H203" s="2">
        <v>46114</v>
      </c>
      <c r="I203" s="15">
        <f ca="1">TODAY()-Base_Relatório[[#This Row],[Plantio]]</f>
        <v>125</v>
      </c>
      <c r="K203" s="14">
        <v>46234</v>
      </c>
      <c r="L203" s="14" t="s">
        <v>190</v>
      </c>
      <c r="M203" s="3"/>
      <c r="N203" s="4">
        <v>0.16133918958109869</v>
      </c>
      <c r="O203" s="5" t="s">
        <v>156</v>
      </c>
      <c r="P203" s="5" t="s">
        <v>21</v>
      </c>
      <c r="Q203" s="5" t="s">
        <v>15</v>
      </c>
      <c r="R203" s="2"/>
      <c r="S203" s="5" t="s">
        <v>126</v>
      </c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 spans="2:33" hidden="1" x14ac:dyDescent="0.35">
      <c r="B204" s="5" t="s">
        <v>21</v>
      </c>
      <c r="C204" s="1">
        <v>166</v>
      </c>
      <c r="D204" s="5" t="s">
        <v>47</v>
      </c>
      <c r="E204" s="5" t="s">
        <v>24</v>
      </c>
      <c r="F204" s="6">
        <v>51.97</v>
      </c>
      <c r="G204" s="1">
        <v>51.74</v>
      </c>
      <c r="H204" s="2">
        <v>46072</v>
      </c>
      <c r="I204" s="15">
        <f ca="1">TODAY()-Base_Relatório[[#This Row],[Plantio]]</f>
        <v>167</v>
      </c>
      <c r="K204" s="14">
        <v>46192</v>
      </c>
      <c r="L204" s="14" t="s">
        <v>190</v>
      </c>
      <c r="M204" s="3">
        <v>1125</v>
      </c>
      <c r="N204" s="4">
        <v>0.16859552736736425</v>
      </c>
      <c r="O204" s="5" t="s">
        <v>156</v>
      </c>
      <c r="P204" s="5" t="s">
        <v>9</v>
      </c>
      <c r="Q204" s="5" t="s">
        <v>15</v>
      </c>
      <c r="R204" s="2"/>
      <c r="S204" s="5" t="s">
        <v>126</v>
      </c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 spans="2:33" hidden="1" x14ac:dyDescent="0.35">
      <c r="B205" s="5" t="s">
        <v>21</v>
      </c>
      <c r="C205" s="1">
        <v>166</v>
      </c>
      <c r="D205" s="5" t="s">
        <v>47</v>
      </c>
      <c r="E205" s="5" t="s">
        <v>31</v>
      </c>
      <c r="F205" s="6">
        <v>57.82</v>
      </c>
      <c r="G205" s="1">
        <v>56.9</v>
      </c>
      <c r="H205" s="2">
        <v>46071</v>
      </c>
      <c r="I205" s="15">
        <f ca="1">TODAY()-Base_Relatório[[#This Row],[Plantio]]</f>
        <v>168</v>
      </c>
      <c r="K205" s="14">
        <v>46191</v>
      </c>
      <c r="L205" s="14" t="s">
        <v>190</v>
      </c>
      <c r="M205" s="3">
        <v>1076.25</v>
      </c>
      <c r="N205" s="4">
        <v>0.19065110176245645</v>
      </c>
      <c r="O205" s="5" t="s">
        <v>156</v>
      </c>
      <c r="P205" s="5" t="s">
        <v>12</v>
      </c>
      <c r="Q205" s="5" t="s">
        <v>15</v>
      </c>
      <c r="R205" s="2"/>
      <c r="S205" s="5" t="s">
        <v>126</v>
      </c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 spans="2:33" hidden="1" x14ac:dyDescent="0.35">
      <c r="B206" s="5" t="s">
        <v>21</v>
      </c>
      <c r="C206" s="1">
        <v>166</v>
      </c>
      <c r="D206" s="5" t="s">
        <v>47</v>
      </c>
      <c r="E206" s="5" t="s">
        <v>25</v>
      </c>
      <c r="F206" s="6">
        <v>57.3</v>
      </c>
      <c r="G206" s="1">
        <v>56.62</v>
      </c>
      <c r="H206" s="2">
        <v>46120</v>
      </c>
      <c r="I206" s="15">
        <f ca="1">TODAY()-Base_Relatório[[#This Row],[Plantio]]</f>
        <v>119</v>
      </c>
      <c r="K206" s="14">
        <v>46240</v>
      </c>
      <c r="L206" s="14" t="s">
        <v>189</v>
      </c>
      <c r="M206" s="3"/>
      <c r="N206" s="4"/>
      <c r="O206" s="5" t="s">
        <v>21</v>
      </c>
      <c r="P206" s="5" t="s">
        <v>21</v>
      </c>
      <c r="Q206" s="5" t="s">
        <v>21</v>
      </c>
      <c r="R206" s="2"/>
      <c r="S206" s="5" t="s">
        <v>126</v>
      </c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 spans="2:33" hidden="1" x14ac:dyDescent="0.35">
      <c r="B207" s="5" t="s">
        <v>21</v>
      </c>
      <c r="C207" s="1">
        <v>166</v>
      </c>
      <c r="D207" s="5" t="s">
        <v>47</v>
      </c>
      <c r="E207" s="5" t="s">
        <v>11</v>
      </c>
      <c r="F207" s="6">
        <v>66.02</v>
      </c>
      <c r="G207" s="1">
        <v>64.3</v>
      </c>
      <c r="H207" s="2">
        <v>46119</v>
      </c>
      <c r="I207" s="15">
        <f ca="1">TODAY()-Base_Relatório[[#This Row],[Plantio]]</f>
        <v>120</v>
      </c>
      <c r="K207" s="14">
        <v>46239</v>
      </c>
      <c r="L207" s="14" t="s">
        <v>189</v>
      </c>
      <c r="M207" s="3"/>
      <c r="N207" s="4"/>
      <c r="O207" s="5" t="s">
        <v>21</v>
      </c>
      <c r="P207" s="5" t="s">
        <v>21</v>
      </c>
      <c r="Q207" s="5" t="s">
        <v>21</v>
      </c>
      <c r="R207" s="2"/>
      <c r="S207" s="5" t="s">
        <v>126</v>
      </c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 spans="2:33" hidden="1" x14ac:dyDescent="0.35">
      <c r="B208" s="5" t="s">
        <v>21</v>
      </c>
      <c r="C208" s="1">
        <v>166</v>
      </c>
      <c r="D208" s="5" t="s">
        <v>47</v>
      </c>
      <c r="E208" s="5" t="s">
        <v>48</v>
      </c>
      <c r="F208" s="6">
        <v>58.18</v>
      </c>
      <c r="G208" s="1">
        <v>57.94</v>
      </c>
      <c r="H208" s="2">
        <v>46094</v>
      </c>
      <c r="I208" s="15">
        <f ca="1">TODAY()-Base_Relatório[[#This Row],[Plantio]]</f>
        <v>145</v>
      </c>
      <c r="K208" s="14">
        <v>46214</v>
      </c>
      <c r="L208" s="14" t="s">
        <v>190</v>
      </c>
      <c r="M208" s="3">
        <v>1080.952380952381</v>
      </c>
      <c r="N208" s="4">
        <v>0.15985701661352011</v>
      </c>
      <c r="O208" s="5" t="s">
        <v>156</v>
      </c>
      <c r="P208" s="5" t="s">
        <v>12</v>
      </c>
      <c r="Q208" s="5" t="s">
        <v>15</v>
      </c>
      <c r="R208" s="2"/>
      <c r="S208" s="5" t="s">
        <v>126</v>
      </c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 spans="2:33" hidden="1" x14ac:dyDescent="0.35">
      <c r="B209" s="5" t="s">
        <v>21</v>
      </c>
      <c r="C209" s="1">
        <v>166</v>
      </c>
      <c r="D209" s="5" t="s">
        <v>47</v>
      </c>
      <c r="E209" s="5" t="s">
        <v>26</v>
      </c>
      <c r="F209" s="6">
        <v>53.21</v>
      </c>
      <c r="G209" s="1">
        <v>36.83</v>
      </c>
      <c r="H209" s="2">
        <v>46101</v>
      </c>
      <c r="I209" s="15">
        <f ca="1">TODAY()-Base_Relatório[[#This Row],[Plantio]]</f>
        <v>138</v>
      </c>
      <c r="K209" s="14">
        <v>46221</v>
      </c>
      <c r="L209" s="14" t="s">
        <v>190</v>
      </c>
      <c r="M209" s="3">
        <v>994.23076923076928</v>
      </c>
      <c r="N209" s="4">
        <v>0.25646935509395941</v>
      </c>
      <c r="O209" s="5" t="s">
        <v>159</v>
      </c>
      <c r="P209" s="5" t="s">
        <v>12</v>
      </c>
      <c r="Q209" s="5" t="s">
        <v>158</v>
      </c>
      <c r="R209" s="2"/>
      <c r="S209" s="5" t="s">
        <v>126</v>
      </c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 spans="2:33" hidden="1" x14ac:dyDescent="0.35">
      <c r="B210" s="5" t="s">
        <v>21</v>
      </c>
      <c r="C210" s="1">
        <v>166</v>
      </c>
      <c r="D210" s="5" t="s">
        <v>47</v>
      </c>
      <c r="E210" s="5" t="s">
        <v>49</v>
      </c>
      <c r="F210" s="6">
        <v>45.09</v>
      </c>
      <c r="G210" s="1">
        <v>44.07</v>
      </c>
      <c r="H210" s="2">
        <v>46101</v>
      </c>
      <c r="I210" s="15">
        <f ca="1">TODAY()-Base_Relatório[[#This Row],[Plantio]]</f>
        <v>138</v>
      </c>
      <c r="K210" s="14">
        <v>46221</v>
      </c>
      <c r="L210" s="14" t="s">
        <v>190</v>
      </c>
      <c r="M210" s="3">
        <v>1048.4375</v>
      </c>
      <c r="N210" s="4">
        <v>0.19540400087195642</v>
      </c>
      <c r="O210" s="5" t="s">
        <v>156</v>
      </c>
      <c r="P210" s="5" t="s">
        <v>12</v>
      </c>
      <c r="Q210" s="5" t="s">
        <v>15</v>
      </c>
      <c r="R210" s="2"/>
      <c r="S210" s="5" t="s">
        <v>126</v>
      </c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 spans="2:33" hidden="1" x14ac:dyDescent="0.35">
      <c r="B211" s="5" t="s">
        <v>21</v>
      </c>
      <c r="C211" s="1">
        <v>166</v>
      </c>
      <c r="D211" s="5" t="s">
        <v>47</v>
      </c>
      <c r="E211" s="5" t="s">
        <v>50</v>
      </c>
      <c r="F211" s="6">
        <v>39.06</v>
      </c>
      <c r="G211" s="1">
        <v>39.82</v>
      </c>
      <c r="H211" s="2">
        <v>46084</v>
      </c>
      <c r="I211" s="15">
        <f ca="1">TODAY()-Base_Relatório[[#This Row],[Plantio]]</f>
        <v>155</v>
      </c>
      <c r="K211" s="14">
        <v>46204</v>
      </c>
      <c r="L211" s="14" t="s">
        <v>190</v>
      </c>
      <c r="M211" s="3">
        <v>819.64285714285711</v>
      </c>
      <c r="N211" s="4">
        <v>0.26037344291840875</v>
      </c>
      <c r="O211" s="5" t="s">
        <v>159</v>
      </c>
      <c r="P211" s="5" t="s">
        <v>100</v>
      </c>
      <c r="Q211" s="5" t="s">
        <v>158</v>
      </c>
      <c r="R211" s="2"/>
      <c r="S211" s="5" t="s">
        <v>126</v>
      </c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 spans="2:33" hidden="1" x14ac:dyDescent="0.35">
      <c r="B212" s="5" t="s">
        <v>21</v>
      </c>
      <c r="C212" s="1">
        <v>166</v>
      </c>
      <c r="D212" s="5" t="s">
        <v>47</v>
      </c>
      <c r="E212" s="5" t="s">
        <v>51</v>
      </c>
      <c r="F212" s="6">
        <v>20.3</v>
      </c>
      <c r="G212" s="1">
        <v>18.579999999999998</v>
      </c>
      <c r="H212" s="2">
        <v>46099</v>
      </c>
      <c r="I212" s="15">
        <f ca="1">TODAY()-Base_Relatório[[#This Row],[Plantio]]</f>
        <v>140</v>
      </c>
      <c r="K212" s="14">
        <v>46219</v>
      </c>
      <c r="L212" s="14" t="s">
        <v>190</v>
      </c>
      <c r="M212" s="3">
        <v>1032.1428571428571</v>
      </c>
      <c r="N212" s="4">
        <v>0.22626874421274806</v>
      </c>
      <c r="O212" s="5" t="s">
        <v>157</v>
      </c>
      <c r="P212" s="5" t="s">
        <v>12</v>
      </c>
      <c r="Q212" s="5" t="s">
        <v>158</v>
      </c>
      <c r="R212" s="2"/>
      <c r="S212" s="5" t="s">
        <v>126</v>
      </c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 spans="2:33" hidden="1" x14ac:dyDescent="0.35">
      <c r="B213" s="5" t="s">
        <v>21</v>
      </c>
      <c r="C213" s="1">
        <v>166</v>
      </c>
      <c r="D213" s="5" t="s">
        <v>47</v>
      </c>
      <c r="E213" s="5" t="s">
        <v>52</v>
      </c>
      <c r="F213" s="6">
        <v>15.83</v>
      </c>
      <c r="G213" s="1">
        <v>15.13</v>
      </c>
      <c r="H213" s="2">
        <v>46072</v>
      </c>
      <c r="I213" s="15">
        <f ca="1">TODAY()-Base_Relatório[[#This Row],[Plantio]]</f>
        <v>167</v>
      </c>
      <c r="K213" s="14">
        <v>46192</v>
      </c>
      <c r="L213" s="14" t="s">
        <v>190</v>
      </c>
      <c r="M213" s="3">
        <v>1070.8333333333333</v>
      </c>
      <c r="N213" s="4">
        <v>0.18483420788067761</v>
      </c>
      <c r="O213" s="5" t="s">
        <v>156</v>
      </c>
      <c r="P213" s="5" t="s">
        <v>12</v>
      </c>
      <c r="Q213" s="5" t="s">
        <v>15</v>
      </c>
      <c r="R213" s="2"/>
      <c r="S213" s="5" t="s">
        <v>126</v>
      </c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 spans="2:33" hidden="1" x14ac:dyDescent="0.35">
      <c r="B214" s="5" t="s">
        <v>21</v>
      </c>
      <c r="C214" s="1">
        <v>166</v>
      </c>
      <c r="D214" s="5" t="s">
        <v>47</v>
      </c>
      <c r="E214" s="5" t="s">
        <v>53</v>
      </c>
      <c r="F214" s="6">
        <v>40.25</v>
      </c>
      <c r="G214" s="1">
        <v>39.49</v>
      </c>
      <c r="H214" s="2">
        <v>46101</v>
      </c>
      <c r="I214" s="15">
        <f ca="1">TODAY()-Base_Relatório[[#This Row],[Plantio]]</f>
        <v>138</v>
      </c>
      <c r="K214" s="14">
        <v>46221</v>
      </c>
      <c r="L214" s="14" t="s">
        <v>190</v>
      </c>
      <c r="M214" s="3">
        <v>1091.0714285714287</v>
      </c>
      <c r="N214" s="4">
        <v>0.18575749950183906</v>
      </c>
      <c r="O214" s="5" t="s">
        <v>156</v>
      </c>
      <c r="P214" s="5" t="s">
        <v>12</v>
      </c>
      <c r="Q214" s="5" t="s">
        <v>15</v>
      </c>
      <c r="R214" s="2"/>
      <c r="S214" s="5" t="s">
        <v>126</v>
      </c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 spans="2:33" hidden="1" x14ac:dyDescent="0.35">
      <c r="B215" s="5" t="s">
        <v>21</v>
      </c>
      <c r="C215" s="1">
        <v>166</v>
      </c>
      <c r="D215" s="5" t="s">
        <v>47</v>
      </c>
      <c r="E215" s="5" t="s">
        <v>54</v>
      </c>
      <c r="F215" s="6">
        <v>44.66</v>
      </c>
      <c r="G215" s="1">
        <v>43.94</v>
      </c>
      <c r="H215" s="2">
        <v>46092</v>
      </c>
      <c r="I215" s="15">
        <f ca="1">TODAY()-Base_Relatório[[#This Row],[Plantio]]</f>
        <v>147</v>
      </c>
      <c r="K215" s="14">
        <v>46212</v>
      </c>
      <c r="L215" s="14" t="s">
        <v>190</v>
      </c>
      <c r="M215" s="3">
        <v>971.875</v>
      </c>
      <c r="N215" s="4">
        <v>0.19978268904047386</v>
      </c>
      <c r="O215" s="5" t="s">
        <v>156</v>
      </c>
      <c r="P215" s="5" t="s">
        <v>12</v>
      </c>
      <c r="Q215" s="5" t="s">
        <v>15</v>
      </c>
      <c r="R215" s="2"/>
      <c r="S215" s="5" t="s">
        <v>126</v>
      </c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 spans="2:33" hidden="1" x14ac:dyDescent="0.35">
      <c r="B216" s="5" t="s">
        <v>21</v>
      </c>
      <c r="C216" s="1">
        <v>166</v>
      </c>
      <c r="D216" s="5" t="s">
        <v>47</v>
      </c>
      <c r="E216" s="5" t="s">
        <v>13</v>
      </c>
      <c r="F216" s="6">
        <v>29.24</v>
      </c>
      <c r="G216" s="1">
        <v>28.59</v>
      </c>
      <c r="H216" s="2">
        <v>46085</v>
      </c>
      <c r="I216" s="15">
        <f ca="1">TODAY()-Base_Relatório[[#This Row],[Plantio]]</f>
        <v>154</v>
      </c>
      <c r="K216" s="14">
        <v>46205</v>
      </c>
      <c r="L216" s="14" t="s">
        <v>190</v>
      </c>
      <c r="M216" s="3">
        <v>1035</v>
      </c>
      <c r="N216" s="4">
        <v>0.31469539050894124</v>
      </c>
      <c r="O216" s="5" t="s">
        <v>161</v>
      </c>
      <c r="P216" s="5" t="s">
        <v>12</v>
      </c>
      <c r="Q216" s="5" t="s">
        <v>158</v>
      </c>
      <c r="R216" s="2"/>
      <c r="S216" s="5" t="s">
        <v>126</v>
      </c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 spans="2:33" hidden="1" x14ac:dyDescent="0.35">
      <c r="B217" s="5" t="s">
        <v>21</v>
      </c>
      <c r="C217" s="1">
        <v>166</v>
      </c>
      <c r="D217" s="5" t="s">
        <v>47</v>
      </c>
      <c r="E217" s="5" t="s">
        <v>55</v>
      </c>
      <c r="F217" s="6">
        <v>28.32</v>
      </c>
      <c r="G217" s="1">
        <v>27.26</v>
      </c>
      <c r="H217" s="2">
        <v>46090</v>
      </c>
      <c r="I217" s="15">
        <f ca="1">TODAY()-Base_Relatório[[#This Row],[Plantio]]</f>
        <v>149</v>
      </c>
      <c r="K217" s="14">
        <v>46210</v>
      </c>
      <c r="L217" s="14" t="s">
        <v>190</v>
      </c>
      <c r="M217" s="3">
        <v>927.5</v>
      </c>
      <c r="N217" s="4">
        <v>0.21961259697858501</v>
      </c>
      <c r="O217" s="5" t="s">
        <v>157</v>
      </c>
      <c r="P217" s="5" t="s">
        <v>100</v>
      </c>
      <c r="Q217" s="5" t="s">
        <v>158</v>
      </c>
      <c r="R217" s="2"/>
      <c r="S217" s="5" t="s">
        <v>126</v>
      </c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 spans="2:33" hidden="1" x14ac:dyDescent="0.35">
      <c r="B218" s="5" t="s">
        <v>21</v>
      </c>
      <c r="C218" s="1">
        <v>166</v>
      </c>
      <c r="D218" s="5" t="s">
        <v>47</v>
      </c>
      <c r="E218" s="5" t="s">
        <v>46</v>
      </c>
      <c r="F218" s="6">
        <v>49.71</v>
      </c>
      <c r="G218" s="1">
        <v>49.95</v>
      </c>
      <c r="H218" s="2">
        <v>46092</v>
      </c>
      <c r="I218" s="15">
        <f ca="1">TODAY()-Base_Relatório[[#This Row],[Plantio]]</f>
        <v>147</v>
      </c>
      <c r="K218" s="14">
        <v>46212</v>
      </c>
      <c r="L218" s="14" t="s">
        <v>190</v>
      </c>
      <c r="M218" s="3">
        <v>1064.7058823529412</v>
      </c>
      <c r="N218" s="4">
        <v>0.18922322265479846</v>
      </c>
      <c r="O218" s="5" t="s">
        <v>156</v>
      </c>
      <c r="P218" s="5" t="s">
        <v>12</v>
      </c>
      <c r="Q218" s="5" t="s">
        <v>15</v>
      </c>
      <c r="R218" s="2"/>
      <c r="S218" s="5" t="s">
        <v>126</v>
      </c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 spans="2:33" hidden="1" x14ac:dyDescent="0.35">
      <c r="B219" s="5" t="s">
        <v>21</v>
      </c>
      <c r="C219" s="1">
        <v>166</v>
      </c>
      <c r="D219" s="5" t="s">
        <v>47</v>
      </c>
      <c r="E219" s="5" t="s">
        <v>56</v>
      </c>
      <c r="F219" s="6">
        <v>43.25</v>
      </c>
      <c r="G219" s="1">
        <v>42.12</v>
      </c>
      <c r="H219" s="2">
        <v>46101</v>
      </c>
      <c r="I219" s="15">
        <f ca="1">TODAY()-Base_Relatório[[#This Row],[Plantio]]</f>
        <v>138</v>
      </c>
      <c r="K219" s="14">
        <v>46221</v>
      </c>
      <c r="L219" s="14" t="s">
        <v>190</v>
      </c>
      <c r="M219" s="3">
        <v>1078.3333333333333</v>
      </c>
      <c r="N219" s="4">
        <v>0.19287490944417013</v>
      </c>
      <c r="O219" s="5" t="s">
        <v>156</v>
      </c>
      <c r="P219" s="5" t="s">
        <v>12</v>
      </c>
      <c r="Q219" s="5" t="s">
        <v>15</v>
      </c>
      <c r="R219" s="2"/>
      <c r="S219" s="5" t="s">
        <v>126</v>
      </c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 spans="2:33" hidden="1" x14ac:dyDescent="0.35">
      <c r="B220" s="5" t="s">
        <v>21</v>
      </c>
      <c r="C220" s="1">
        <v>166</v>
      </c>
      <c r="D220" s="5" t="s">
        <v>47</v>
      </c>
      <c r="E220" s="5" t="s">
        <v>27</v>
      </c>
      <c r="F220" s="6">
        <v>47.34</v>
      </c>
      <c r="G220" s="1">
        <v>47.5</v>
      </c>
      <c r="H220" s="2">
        <v>46094</v>
      </c>
      <c r="I220" s="15">
        <f ca="1">TODAY()-Base_Relatório[[#This Row],[Plantio]]</f>
        <v>145</v>
      </c>
      <c r="K220" s="14">
        <v>46214</v>
      </c>
      <c r="L220" s="14" t="s">
        <v>190</v>
      </c>
      <c r="M220" s="3">
        <v>1154.4117647058824</v>
      </c>
      <c r="N220" s="4">
        <v>0.22577095063473335</v>
      </c>
      <c r="O220" s="5" t="s">
        <v>157</v>
      </c>
      <c r="P220" s="5" t="s">
        <v>9</v>
      </c>
      <c r="Q220" s="5" t="s">
        <v>158</v>
      </c>
      <c r="R220" s="2"/>
      <c r="S220" s="5" t="s">
        <v>126</v>
      </c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 spans="2:33" hidden="1" x14ac:dyDescent="0.35">
      <c r="B221" s="5" t="s">
        <v>21</v>
      </c>
      <c r="C221" s="1">
        <v>166</v>
      </c>
      <c r="D221" s="5" t="s">
        <v>47</v>
      </c>
      <c r="E221" s="5" t="s">
        <v>28</v>
      </c>
      <c r="F221" s="6">
        <v>46.34</v>
      </c>
      <c r="G221" s="1">
        <v>45.5</v>
      </c>
      <c r="H221" s="2">
        <v>46098</v>
      </c>
      <c r="I221" s="15">
        <f ca="1">TODAY()-Base_Relatório[[#This Row],[Plantio]]</f>
        <v>141</v>
      </c>
      <c r="K221" s="14">
        <v>46218</v>
      </c>
      <c r="L221" s="14" t="s">
        <v>190</v>
      </c>
      <c r="M221" s="3">
        <v>1105.8823529411766</v>
      </c>
      <c r="N221" s="4">
        <v>0.24177135474244316</v>
      </c>
      <c r="O221" s="5" t="s">
        <v>157</v>
      </c>
      <c r="P221" s="5" t="s">
        <v>9</v>
      </c>
      <c r="Q221" s="5" t="s">
        <v>158</v>
      </c>
      <c r="R221" s="2"/>
      <c r="S221" s="5" t="s">
        <v>126</v>
      </c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 spans="2:33" hidden="1" x14ac:dyDescent="0.35">
      <c r="B222" s="5" t="s">
        <v>21</v>
      </c>
      <c r="C222" s="1">
        <v>166</v>
      </c>
      <c r="D222" s="5" t="s">
        <v>47</v>
      </c>
      <c r="E222" s="5" t="s">
        <v>29</v>
      </c>
      <c r="F222" s="6">
        <v>27.92</v>
      </c>
      <c r="G222" s="1">
        <v>28.02</v>
      </c>
      <c r="H222" s="2">
        <v>46101</v>
      </c>
      <c r="I222" s="15">
        <f ca="1">TODAY()-Base_Relatório[[#This Row],[Plantio]]</f>
        <v>138</v>
      </c>
      <c r="K222" s="14">
        <v>46221</v>
      </c>
      <c r="L222" s="14" t="s">
        <v>190</v>
      </c>
      <c r="M222" s="3">
        <v>1175</v>
      </c>
      <c r="N222" s="4">
        <v>0.2428557613868669</v>
      </c>
      <c r="O222" s="5" t="s">
        <v>157</v>
      </c>
      <c r="P222" s="5" t="s">
        <v>9</v>
      </c>
      <c r="Q222" s="5" t="s">
        <v>158</v>
      </c>
      <c r="R222" s="2"/>
      <c r="S222" s="5" t="s">
        <v>126</v>
      </c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 spans="2:33" hidden="1" x14ac:dyDescent="0.35">
      <c r="B223" s="5" t="s">
        <v>21</v>
      </c>
      <c r="C223" s="1">
        <v>200</v>
      </c>
      <c r="D223" s="5" t="s">
        <v>10</v>
      </c>
      <c r="E223" s="5" t="s">
        <v>17</v>
      </c>
      <c r="F223" s="6">
        <v>36.86</v>
      </c>
      <c r="H223" s="2">
        <v>46175</v>
      </c>
      <c r="I223" s="15">
        <f ca="1">TODAY()-Base_Relatório[[#This Row],[Plantio]]</f>
        <v>64</v>
      </c>
      <c r="K223" s="14">
        <v>46295</v>
      </c>
      <c r="L223" s="14" t="s">
        <v>189</v>
      </c>
      <c r="M223" s="3"/>
      <c r="N223" s="4"/>
      <c r="O223" s="5" t="s">
        <v>21</v>
      </c>
      <c r="P223" s="5" t="s">
        <v>21</v>
      </c>
      <c r="Q223" s="5" t="s">
        <v>21</v>
      </c>
      <c r="R223" s="2"/>
      <c r="S223" s="5" t="s">
        <v>126</v>
      </c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 spans="2:33" hidden="1" x14ac:dyDescent="0.35">
      <c r="B224" s="5" t="s">
        <v>21</v>
      </c>
      <c r="C224" s="1">
        <v>200</v>
      </c>
      <c r="D224" s="5" t="s">
        <v>10</v>
      </c>
      <c r="E224" s="5" t="s">
        <v>22</v>
      </c>
      <c r="F224" s="6">
        <v>37.82</v>
      </c>
      <c r="H224" s="2">
        <v>46182</v>
      </c>
      <c r="I224" s="15">
        <f ca="1">TODAY()-Base_Relatório[[#This Row],[Plantio]]</f>
        <v>57</v>
      </c>
      <c r="K224" s="14">
        <v>46302</v>
      </c>
      <c r="L224" s="14" t="s">
        <v>189</v>
      </c>
      <c r="M224" s="3"/>
      <c r="N224" s="4"/>
      <c r="O224" s="5" t="s">
        <v>21</v>
      </c>
      <c r="P224" s="5" t="s">
        <v>21</v>
      </c>
      <c r="Q224" s="5" t="s">
        <v>21</v>
      </c>
      <c r="R224" s="2"/>
      <c r="S224" s="5" t="s">
        <v>126</v>
      </c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 spans="2:33" hidden="1" x14ac:dyDescent="0.35">
      <c r="B225" s="5" t="s">
        <v>21</v>
      </c>
      <c r="C225" s="1">
        <v>200</v>
      </c>
      <c r="D225" s="5" t="s">
        <v>10</v>
      </c>
      <c r="E225" s="5" t="s">
        <v>24</v>
      </c>
      <c r="F225" s="6">
        <v>35.56</v>
      </c>
      <c r="H225" s="2">
        <v>46188</v>
      </c>
      <c r="I225" s="15">
        <f ca="1">TODAY()-Base_Relatório[[#This Row],[Plantio]]</f>
        <v>51</v>
      </c>
      <c r="K225" s="14">
        <v>46308</v>
      </c>
      <c r="L225" s="14" t="s">
        <v>189</v>
      </c>
      <c r="M225" s="3"/>
      <c r="N225" s="4"/>
      <c r="O225" s="5" t="s">
        <v>21</v>
      </c>
      <c r="P225" s="5" t="s">
        <v>21</v>
      </c>
      <c r="Q225" s="5" t="s">
        <v>21</v>
      </c>
      <c r="R225" s="2"/>
      <c r="S225" s="5" t="s">
        <v>126</v>
      </c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 spans="2:33" hidden="1" x14ac:dyDescent="0.35">
      <c r="B226" s="5" t="s">
        <v>21</v>
      </c>
      <c r="C226" s="1">
        <v>200</v>
      </c>
      <c r="D226" s="5" t="s">
        <v>10</v>
      </c>
      <c r="E226" s="5" t="s">
        <v>31</v>
      </c>
      <c r="F226" s="6">
        <v>39.229999999999997</v>
      </c>
      <c r="H226" s="2">
        <v>46188</v>
      </c>
      <c r="I226" s="15">
        <f ca="1">TODAY()-Base_Relatório[[#This Row],[Plantio]]</f>
        <v>51</v>
      </c>
      <c r="K226" s="14">
        <v>46308</v>
      </c>
      <c r="L226" s="14" t="s">
        <v>189</v>
      </c>
      <c r="M226" s="3"/>
      <c r="N226" s="4"/>
      <c r="O226" s="5" t="s">
        <v>21</v>
      </c>
      <c r="P226" s="5" t="s">
        <v>21</v>
      </c>
      <c r="Q226" s="5" t="s">
        <v>21</v>
      </c>
      <c r="R226" s="2"/>
      <c r="S226" s="5" t="s">
        <v>126</v>
      </c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 spans="2:33" hidden="1" x14ac:dyDescent="0.35">
      <c r="B227" s="5" t="s">
        <v>21</v>
      </c>
      <c r="C227" s="1">
        <v>200</v>
      </c>
      <c r="D227" s="5" t="s">
        <v>10</v>
      </c>
      <c r="E227" s="5" t="s">
        <v>32</v>
      </c>
      <c r="F227" s="6">
        <v>50.04</v>
      </c>
      <c r="H227" s="2">
        <v>46184</v>
      </c>
      <c r="I227" s="15">
        <f ca="1">TODAY()-Base_Relatório[[#This Row],[Plantio]]</f>
        <v>55</v>
      </c>
      <c r="K227" s="14">
        <v>46304</v>
      </c>
      <c r="L227" s="14" t="s">
        <v>189</v>
      </c>
      <c r="M227" s="3"/>
      <c r="N227" s="4"/>
      <c r="O227" s="5" t="s">
        <v>21</v>
      </c>
      <c r="P227" s="5" t="s">
        <v>21</v>
      </c>
      <c r="Q227" s="5" t="s">
        <v>21</v>
      </c>
      <c r="R227" s="2"/>
      <c r="S227" s="5" t="s">
        <v>126</v>
      </c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 spans="2:33" hidden="1" x14ac:dyDescent="0.35">
      <c r="B228" s="5" t="s">
        <v>21</v>
      </c>
      <c r="C228" s="1">
        <v>200</v>
      </c>
      <c r="D228" s="5" t="s">
        <v>10</v>
      </c>
      <c r="E228" s="5" t="s">
        <v>26</v>
      </c>
      <c r="F228" s="6">
        <v>35.78</v>
      </c>
      <c r="H228" s="2">
        <v>46169</v>
      </c>
      <c r="I228" s="15">
        <f ca="1">TODAY()-Base_Relatório[[#This Row],[Plantio]]</f>
        <v>70</v>
      </c>
      <c r="K228" s="14">
        <v>46289</v>
      </c>
      <c r="L228" s="14" t="s">
        <v>189</v>
      </c>
      <c r="M228" s="3"/>
      <c r="N228" s="4"/>
      <c r="O228" s="5" t="s">
        <v>21</v>
      </c>
      <c r="P228" s="5" t="s">
        <v>21</v>
      </c>
      <c r="Q228" s="5" t="s">
        <v>21</v>
      </c>
      <c r="R228" s="2"/>
      <c r="S228" s="5" t="s">
        <v>126</v>
      </c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 spans="2:33" hidden="1" x14ac:dyDescent="0.35">
      <c r="B229" s="5" t="s">
        <v>21</v>
      </c>
      <c r="C229" s="1">
        <v>200</v>
      </c>
      <c r="D229" s="5" t="s">
        <v>10</v>
      </c>
      <c r="E229" s="5" t="s">
        <v>49</v>
      </c>
      <c r="F229" s="6">
        <v>20.99</v>
      </c>
      <c r="H229" s="2">
        <v>46171</v>
      </c>
      <c r="I229" s="15">
        <f ca="1">TODAY()-Base_Relatório[[#This Row],[Plantio]]</f>
        <v>68</v>
      </c>
      <c r="K229" s="14">
        <v>46291</v>
      </c>
      <c r="L229" s="14" t="s">
        <v>189</v>
      </c>
      <c r="M229" s="3"/>
      <c r="N229" s="4"/>
      <c r="O229" s="5" t="s">
        <v>21</v>
      </c>
      <c r="P229" s="5" t="s">
        <v>21</v>
      </c>
      <c r="Q229" s="5" t="s">
        <v>21</v>
      </c>
      <c r="R229" s="2"/>
      <c r="S229" s="5" t="s">
        <v>126</v>
      </c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 spans="2:33" hidden="1" x14ac:dyDescent="0.35">
      <c r="B230" s="5" t="s">
        <v>21</v>
      </c>
      <c r="C230" s="1">
        <v>200</v>
      </c>
      <c r="D230" s="5" t="s">
        <v>10</v>
      </c>
      <c r="E230" s="5" t="s">
        <v>57</v>
      </c>
      <c r="F230" s="6">
        <v>11.51</v>
      </c>
      <c r="G230" s="1">
        <v>11.31</v>
      </c>
      <c r="H230" s="2">
        <v>46080</v>
      </c>
      <c r="I230" s="15">
        <f ca="1">TODAY()-Base_Relatório[[#This Row],[Plantio]]</f>
        <v>159</v>
      </c>
      <c r="K230" s="14">
        <v>46200</v>
      </c>
      <c r="L230" s="14" t="s">
        <v>190</v>
      </c>
      <c r="M230" s="3">
        <v>1105</v>
      </c>
      <c r="N230" s="4">
        <v>0.23864855806389521</v>
      </c>
      <c r="O230" s="5" t="s">
        <v>157</v>
      </c>
      <c r="P230" s="5" t="s">
        <v>9</v>
      </c>
      <c r="Q230" s="5" t="s">
        <v>158</v>
      </c>
      <c r="R230" s="2"/>
      <c r="S230" s="5" t="s">
        <v>126</v>
      </c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 spans="2:33" hidden="1" x14ac:dyDescent="0.35">
      <c r="B231" s="5" t="s">
        <v>21</v>
      </c>
      <c r="C231" s="1">
        <v>200</v>
      </c>
      <c r="D231" s="5" t="s">
        <v>10</v>
      </c>
      <c r="E231" s="5" t="s">
        <v>33</v>
      </c>
      <c r="F231" s="6">
        <v>18.29</v>
      </c>
      <c r="G231" s="1">
        <v>18.05</v>
      </c>
      <c r="H231" s="2">
        <v>46087</v>
      </c>
      <c r="I231" s="15">
        <f ca="1">TODAY()-Base_Relatório[[#This Row],[Plantio]]</f>
        <v>152</v>
      </c>
      <c r="K231" s="14">
        <v>46207</v>
      </c>
      <c r="L231" s="14" t="s">
        <v>190</v>
      </c>
      <c r="M231" s="3">
        <v>1075</v>
      </c>
      <c r="N231" s="4">
        <v>0.26110824292062856</v>
      </c>
      <c r="O231" s="5" t="s">
        <v>159</v>
      </c>
      <c r="P231" s="5" t="s">
        <v>12</v>
      </c>
      <c r="Q231" s="5" t="s">
        <v>158</v>
      </c>
      <c r="R231" s="2"/>
      <c r="S231" s="5" t="s">
        <v>126</v>
      </c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 spans="2:33" hidden="1" x14ac:dyDescent="0.35">
      <c r="B232" s="5" t="s">
        <v>21</v>
      </c>
      <c r="C232" s="1">
        <v>200</v>
      </c>
      <c r="D232" s="5" t="s">
        <v>10</v>
      </c>
      <c r="E232" s="5" t="s">
        <v>85</v>
      </c>
      <c r="F232" s="6">
        <v>29.71</v>
      </c>
      <c r="H232" s="2">
        <v>46178</v>
      </c>
      <c r="I232" s="15">
        <f ca="1">TODAY()-Base_Relatório[[#This Row],[Plantio]]</f>
        <v>61</v>
      </c>
      <c r="K232" s="14">
        <v>46298</v>
      </c>
      <c r="L232" s="14" t="s">
        <v>189</v>
      </c>
      <c r="M232" s="3"/>
      <c r="N232" s="4"/>
      <c r="O232" s="5" t="s">
        <v>21</v>
      </c>
      <c r="P232" s="5" t="s">
        <v>21</v>
      </c>
      <c r="Q232" s="5" t="s">
        <v>21</v>
      </c>
      <c r="R232" s="2"/>
      <c r="S232" s="5" t="s">
        <v>126</v>
      </c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 spans="2:33" hidden="1" x14ac:dyDescent="0.35">
      <c r="B233" s="5" t="s">
        <v>21</v>
      </c>
      <c r="C233" s="1">
        <v>200</v>
      </c>
      <c r="D233" s="5" t="s">
        <v>10</v>
      </c>
      <c r="E233" s="5" t="s">
        <v>34</v>
      </c>
      <c r="F233" s="6">
        <v>23.68</v>
      </c>
      <c r="H233" s="2">
        <v>46184</v>
      </c>
      <c r="I233" s="15">
        <f ca="1">TODAY()-Base_Relatório[[#This Row],[Plantio]]</f>
        <v>55</v>
      </c>
      <c r="K233" s="14">
        <v>46304</v>
      </c>
      <c r="L233" s="14" t="s">
        <v>189</v>
      </c>
      <c r="M233" s="3"/>
      <c r="N233" s="4"/>
      <c r="O233" s="5" t="s">
        <v>21</v>
      </c>
      <c r="P233" s="5" t="s">
        <v>21</v>
      </c>
      <c r="Q233" s="5" t="s">
        <v>21</v>
      </c>
      <c r="R233" s="2"/>
      <c r="S233" s="5" t="s">
        <v>126</v>
      </c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 spans="2:33" hidden="1" x14ac:dyDescent="0.35">
      <c r="B234" s="5" t="s">
        <v>21</v>
      </c>
      <c r="C234" s="1">
        <v>200</v>
      </c>
      <c r="D234" s="5" t="s">
        <v>10</v>
      </c>
      <c r="E234" s="5" t="s">
        <v>36</v>
      </c>
      <c r="F234" s="6">
        <v>38.9</v>
      </c>
      <c r="G234" s="1">
        <v>39.06</v>
      </c>
      <c r="H234" s="2">
        <v>46094</v>
      </c>
      <c r="I234" s="15">
        <f ca="1">TODAY()-Base_Relatório[[#This Row],[Plantio]]</f>
        <v>145</v>
      </c>
      <c r="K234" s="14">
        <v>46214</v>
      </c>
      <c r="L234" s="14" t="s">
        <v>190</v>
      </c>
      <c r="M234" s="3">
        <v>1130.3571428571429</v>
      </c>
      <c r="N234" s="4"/>
      <c r="O234" s="5" t="s">
        <v>21</v>
      </c>
      <c r="P234" s="5" t="s">
        <v>9</v>
      </c>
      <c r="Q234" s="5" t="s">
        <v>21</v>
      </c>
      <c r="R234" s="2"/>
      <c r="S234" s="5" t="s">
        <v>126</v>
      </c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 spans="2:33" hidden="1" x14ac:dyDescent="0.35">
      <c r="B235" s="5" t="s">
        <v>21</v>
      </c>
      <c r="C235" s="1">
        <v>200</v>
      </c>
      <c r="D235" s="5" t="s">
        <v>10</v>
      </c>
      <c r="E235" s="5" t="s">
        <v>39</v>
      </c>
      <c r="F235" s="6">
        <v>28.32</v>
      </c>
      <c r="H235" s="2">
        <v>46163</v>
      </c>
      <c r="I235" s="15">
        <f ca="1">TODAY()-Base_Relatório[[#This Row],[Plantio]]</f>
        <v>76</v>
      </c>
      <c r="K235" s="14">
        <v>46283</v>
      </c>
      <c r="L235" s="14" t="s">
        <v>189</v>
      </c>
      <c r="M235" s="3"/>
      <c r="N235" s="4"/>
      <c r="O235" s="5" t="s">
        <v>21</v>
      </c>
      <c r="P235" s="5" t="s">
        <v>21</v>
      </c>
      <c r="Q235" s="5" t="s">
        <v>21</v>
      </c>
      <c r="R235" s="2"/>
      <c r="S235" s="5" t="s">
        <v>126</v>
      </c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 spans="2:33" hidden="1" x14ac:dyDescent="0.35">
      <c r="B236" s="5" t="s">
        <v>21</v>
      </c>
      <c r="C236" s="1">
        <v>200</v>
      </c>
      <c r="D236" s="5" t="s">
        <v>10</v>
      </c>
      <c r="E236" s="5" t="s">
        <v>40</v>
      </c>
      <c r="F236" s="6">
        <v>49.79</v>
      </c>
      <c r="H236" s="2">
        <v>46163</v>
      </c>
      <c r="I236" s="15">
        <f ca="1">TODAY()-Base_Relatório[[#This Row],[Plantio]]</f>
        <v>76</v>
      </c>
      <c r="K236" s="14">
        <v>46283</v>
      </c>
      <c r="L236" s="14" t="s">
        <v>189</v>
      </c>
      <c r="M236" s="3"/>
      <c r="N236" s="4"/>
      <c r="O236" s="5" t="s">
        <v>21</v>
      </c>
      <c r="P236" s="5" t="s">
        <v>21</v>
      </c>
      <c r="Q236" s="5" t="s">
        <v>21</v>
      </c>
      <c r="R236" s="2"/>
      <c r="S236" s="5" t="s">
        <v>126</v>
      </c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 spans="2:33" hidden="1" x14ac:dyDescent="0.35">
      <c r="B237" s="5" t="s">
        <v>21</v>
      </c>
      <c r="C237" s="1">
        <v>200</v>
      </c>
      <c r="D237" s="5" t="s">
        <v>10</v>
      </c>
      <c r="E237" s="5" t="s">
        <v>43</v>
      </c>
      <c r="F237" s="6">
        <v>53.58</v>
      </c>
      <c r="G237" s="1">
        <v>53.68</v>
      </c>
      <c r="H237" s="2">
        <v>46043</v>
      </c>
      <c r="I237" s="15">
        <f ca="1">TODAY()-Base_Relatório[[#This Row],[Plantio]]</f>
        <v>196</v>
      </c>
      <c r="K237" s="14">
        <v>46163</v>
      </c>
      <c r="L237" s="14" t="s">
        <v>190</v>
      </c>
      <c r="M237" s="3">
        <v>1168.421052631579</v>
      </c>
      <c r="N237" s="4">
        <v>0.22325165659593285</v>
      </c>
      <c r="O237" s="5" t="s">
        <v>157</v>
      </c>
      <c r="P237" s="5" t="s">
        <v>9</v>
      </c>
      <c r="Q237" s="5" t="s">
        <v>158</v>
      </c>
      <c r="R237" s="2"/>
      <c r="S237" s="5" t="s">
        <v>126</v>
      </c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 spans="2:33" hidden="1" x14ac:dyDescent="0.35">
      <c r="B238" s="5" t="s">
        <v>21</v>
      </c>
      <c r="C238" s="1">
        <v>200</v>
      </c>
      <c r="D238" s="5" t="s">
        <v>10</v>
      </c>
      <c r="E238" s="5" t="s">
        <v>59</v>
      </c>
      <c r="F238" s="6">
        <v>55.56</v>
      </c>
      <c r="H238" s="2">
        <v>46118</v>
      </c>
      <c r="I238" s="15">
        <f ca="1">TODAY()-Base_Relatório[[#This Row],[Plantio]]</f>
        <v>121</v>
      </c>
      <c r="K238" s="14">
        <v>46238</v>
      </c>
      <c r="L238" s="14" t="s">
        <v>189</v>
      </c>
      <c r="M238" s="3"/>
      <c r="N238" s="4"/>
      <c r="O238" s="5" t="s">
        <v>21</v>
      </c>
      <c r="P238" s="5" t="s">
        <v>21</v>
      </c>
      <c r="Q238" s="5" t="s">
        <v>21</v>
      </c>
      <c r="R238" s="2"/>
      <c r="S238" s="5" t="s">
        <v>126</v>
      </c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 spans="2:33" hidden="1" x14ac:dyDescent="0.35">
      <c r="B239" s="5" t="s">
        <v>21</v>
      </c>
      <c r="C239" s="1">
        <v>200</v>
      </c>
      <c r="D239" s="5" t="s">
        <v>10</v>
      </c>
      <c r="E239" s="5" t="s">
        <v>60</v>
      </c>
      <c r="F239" s="6">
        <v>35.229999999999997</v>
      </c>
      <c r="H239" s="2">
        <v>46112</v>
      </c>
      <c r="I239" s="15">
        <f ca="1">TODAY()-Base_Relatório[[#This Row],[Plantio]]</f>
        <v>127</v>
      </c>
      <c r="K239" s="14">
        <v>46232</v>
      </c>
      <c r="L239" s="14" t="s">
        <v>190</v>
      </c>
      <c r="M239" s="3"/>
      <c r="N239" s="4">
        <v>0.19863849326386751</v>
      </c>
      <c r="O239" s="5" t="s">
        <v>156</v>
      </c>
      <c r="P239" s="5" t="s">
        <v>21</v>
      </c>
      <c r="Q239" s="5" t="s">
        <v>15</v>
      </c>
      <c r="R239" s="2"/>
      <c r="S239" s="5" t="s">
        <v>126</v>
      </c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 spans="2:33" hidden="1" x14ac:dyDescent="0.35">
      <c r="B240" s="5" t="s">
        <v>21</v>
      </c>
      <c r="C240" s="1">
        <v>200</v>
      </c>
      <c r="D240" s="5" t="s">
        <v>10</v>
      </c>
      <c r="E240" s="5" t="s">
        <v>61</v>
      </c>
      <c r="F240" s="6">
        <v>40.81</v>
      </c>
      <c r="H240" s="2">
        <v>46120</v>
      </c>
      <c r="I240" s="15">
        <f ca="1">TODAY()-Base_Relatório[[#This Row],[Plantio]]</f>
        <v>119</v>
      </c>
      <c r="K240" s="14">
        <v>46240</v>
      </c>
      <c r="L240" s="14" t="s">
        <v>189</v>
      </c>
      <c r="M240" s="3"/>
      <c r="N240" s="4"/>
      <c r="O240" s="5" t="s">
        <v>21</v>
      </c>
      <c r="P240" s="5" t="s">
        <v>21</v>
      </c>
      <c r="Q240" s="5" t="s">
        <v>21</v>
      </c>
      <c r="R240" s="2"/>
      <c r="S240" s="5" t="s">
        <v>126</v>
      </c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 spans="2:33" hidden="1" x14ac:dyDescent="0.35">
      <c r="B241" s="5" t="s">
        <v>21</v>
      </c>
      <c r="C241" s="1">
        <v>200</v>
      </c>
      <c r="D241" s="5" t="s">
        <v>10</v>
      </c>
      <c r="E241" s="5" t="s">
        <v>62</v>
      </c>
      <c r="F241" s="6">
        <v>19.79</v>
      </c>
      <c r="H241" s="2">
        <v>46122</v>
      </c>
      <c r="I241" s="15">
        <f ca="1">TODAY()-Base_Relatório[[#This Row],[Plantio]]</f>
        <v>117</v>
      </c>
      <c r="K241" s="14">
        <v>46242</v>
      </c>
      <c r="L241" s="14" t="s">
        <v>189</v>
      </c>
      <c r="M241" s="3"/>
      <c r="N241" s="4"/>
      <c r="O241" s="5" t="s">
        <v>21</v>
      </c>
      <c r="P241" s="5" t="s">
        <v>21</v>
      </c>
      <c r="Q241" s="5" t="s">
        <v>21</v>
      </c>
      <c r="R241" s="2"/>
      <c r="S241" s="5" t="s">
        <v>126</v>
      </c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 spans="2:33" hidden="1" x14ac:dyDescent="0.35">
      <c r="B242" s="5" t="s">
        <v>21</v>
      </c>
      <c r="C242" s="1">
        <v>200</v>
      </c>
      <c r="D242" s="5" t="s">
        <v>10</v>
      </c>
      <c r="E242" s="5" t="s">
        <v>63</v>
      </c>
      <c r="F242" s="6">
        <v>38.31</v>
      </c>
      <c r="G242" s="1">
        <v>38.229999999999997</v>
      </c>
      <c r="H242" s="2">
        <v>46041</v>
      </c>
      <c r="I242" s="15">
        <f ca="1">TODAY()-Base_Relatório[[#This Row],[Plantio]]</f>
        <v>198</v>
      </c>
      <c r="K242" s="14">
        <v>46161</v>
      </c>
      <c r="L242" s="14" t="s">
        <v>190</v>
      </c>
      <c r="M242" s="3">
        <v>1076.7857142857142</v>
      </c>
      <c r="N242" s="4">
        <v>0.29442848996810761</v>
      </c>
      <c r="O242" s="5" t="s">
        <v>159</v>
      </c>
      <c r="P242" s="5" t="s">
        <v>12</v>
      </c>
      <c r="Q242" s="5" t="s">
        <v>158</v>
      </c>
      <c r="R242" s="2"/>
      <c r="S242" s="5" t="s">
        <v>126</v>
      </c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 spans="2:33" hidden="1" x14ac:dyDescent="0.35">
      <c r="B243" s="5" t="s">
        <v>21</v>
      </c>
      <c r="C243" s="1">
        <v>200</v>
      </c>
      <c r="D243" s="5" t="s">
        <v>10</v>
      </c>
      <c r="E243" s="5" t="s">
        <v>46</v>
      </c>
      <c r="F243" s="6">
        <v>31.2</v>
      </c>
      <c r="H243" s="2">
        <v>46185</v>
      </c>
      <c r="I243" s="15">
        <f ca="1">TODAY()-Base_Relatório[[#This Row],[Plantio]]</f>
        <v>54</v>
      </c>
      <c r="K243" s="14">
        <v>46305</v>
      </c>
      <c r="L243" s="14" t="s">
        <v>189</v>
      </c>
      <c r="M243" s="3"/>
      <c r="N243" s="4"/>
      <c r="O243" s="5" t="s">
        <v>21</v>
      </c>
      <c r="P243" s="5" t="s">
        <v>21</v>
      </c>
      <c r="Q243" s="5" t="s">
        <v>21</v>
      </c>
      <c r="R243" s="2"/>
      <c r="S243" s="5" t="s">
        <v>126</v>
      </c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 spans="2:33" hidden="1" x14ac:dyDescent="0.35">
      <c r="B244" s="5" t="s">
        <v>21</v>
      </c>
      <c r="C244" s="1">
        <v>200</v>
      </c>
      <c r="D244" s="5" t="s">
        <v>10</v>
      </c>
      <c r="E244" s="5" t="s">
        <v>64</v>
      </c>
      <c r="F244" s="6">
        <v>40.24</v>
      </c>
      <c r="G244" s="1">
        <v>40.72</v>
      </c>
      <c r="H244" s="2">
        <v>46007</v>
      </c>
      <c r="I244" s="15">
        <f ca="1">TODAY()-Base_Relatório[[#This Row],[Plantio]]</f>
        <v>232</v>
      </c>
      <c r="K244" s="14">
        <v>46127</v>
      </c>
      <c r="L244" s="14" t="s">
        <v>190</v>
      </c>
      <c r="M244" s="3">
        <v>1101.9230769230769</v>
      </c>
      <c r="N244" s="4">
        <v>0.19456841450531087</v>
      </c>
      <c r="O244" s="5" t="s">
        <v>156</v>
      </c>
      <c r="P244" s="5" t="s">
        <v>9</v>
      </c>
      <c r="Q244" s="5" t="s">
        <v>15</v>
      </c>
      <c r="R244" s="2"/>
      <c r="S244" s="5" t="s">
        <v>126</v>
      </c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 spans="2:33" hidden="1" x14ac:dyDescent="0.35">
      <c r="B245" s="5" t="s">
        <v>21</v>
      </c>
      <c r="C245" s="1">
        <v>200</v>
      </c>
      <c r="D245" s="5" t="s">
        <v>10</v>
      </c>
      <c r="E245" s="5" t="s">
        <v>66</v>
      </c>
      <c r="F245" s="6">
        <v>53.67</v>
      </c>
      <c r="G245" s="1">
        <v>52.89</v>
      </c>
      <c r="H245" s="2">
        <v>46092</v>
      </c>
      <c r="I245" s="15">
        <f ca="1">TODAY()-Base_Relatório[[#This Row],[Plantio]]</f>
        <v>147</v>
      </c>
      <c r="K245" s="14">
        <v>46212</v>
      </c>
      <c r="L245" s="14" t="s">
        <v>190</v>
      </c>
      <c r="M245" s="3">
        <v>1013.1578947368421</v>
      </c>
      <c r="N245" s="4">
        <v>0.21512865221826141</v>
      </c>
      <c r="O245" s="5" t="s">
        <v>157</v>
      </c>
      <c r="P245" s="5" t="s">
        <v>12</v>
      </c>
      <c r="Q245" s="5" t="s">
        <v>158</v>
      </c>
      <c r="R245" s="2"/>
      <c r="S245" s="5" t="s">
        <v>126</v>
      </c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 spans="2:33" hidden="1" x14ac:dyDescent="0.35">
      <c r="B246" s="5" t="s">
        <v>21</v>
      </c>
      <c r="C246" s="1">
        <v>200</v>
      </c>
      <c r="D246" s="5" t="s">
        <v>10</v>
      </c>
      <c r="E246" s="5" t="s">
        <v>67</v>
      </c>
      <c r="F246" s="6">
        <v>42.06</v>
      </c>
      <c r="G246" s="1">
        <v>42.23</v>
      </c>
      <c r="H246" s="2">
        <v>46031</v>
      </c>
      <c r="I246" s="15">
        <f ca="1">TODAY()-Base_Relatório[[#This Row],[Plantio]]</f>
        <v>208</v>
      </c>
      <c r="K246" s="14">
        <v>46151</v>
      </c>
      <c r="L246" s="14" t="s">
        <v>190</v>
      </c>
      <c r="M246" s="3">
        <v>1078.5714285714287</v>
      </c>
      <c r="N246" s="4">
        <v>0.22800342498753284</v>
      </c>
      <c r="O246" s="5" t="s">
        <v>157</v>
      </c>
      <c r="P246" s="5" t="s">
        <v>12</v>
      </c>
      <c r="Q246" s="5" t="s">
        <v>158</v>
      </c>
      <c r="R246" s="2"/>
      <c r="S246" s="5" t="s">
        <v>126</v>
      </c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 spans="2:33" hidden="1" x14ac:dyDescent="0.35">
      <c r="B247" s="5" t="s">
        <v>21</v>
      </c>
      <c r="C247" s="1">
        <v>200</v>
      </c>
      <c r="D247" s="5" t="s">
        <v>10</v>
      </c>
      <c r="E247" s="5" t="s">
        <v>68</v>
      </c>
      <c r="F247" s="6">
        <v>31.65</v>
      </c>
      <c r="G247" s="1">
        <v>32.479999999999997</v>
      </c>
      <c r="H247" s="2">
        <v>46012</v>
      </c>
      <c r="I247" s="15">
        <f ca="1">TODAY()-Base_Relatório[[#This Row],[Plantio]]</f>
        <v>227</v>
      </c>
      <c r="K247" s="14">
        <v>46132</v>
      </c>
      <c r="L247" s="14" t="s">
        <v>190</v>
      </c>
      <c r="M247" s="3">
        <v>1159.090909090909</v>
      </c>
      <c r="N247" s="4">
        <v>0.15826802051000755</v>
      </c>
      <c r="O247" s="5" t="s">
        <v>156</v>
      </c>
      <c r="P247" s="5" t="s">
        <v>9</v>
      </c>
      <c r="Q247" s="5" t="s">
        <v>15</v>
      </c>
      <c r="R247" s="2"/>
      <c r="S247" s="5" t="s">
        <v>126</v>
      </c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 spans="2:33" hidden="1" x14ac:dyDescent="0.35">
      <c r="B248" s="5" t="s">
        <v>21</v>
      </c>
      <c r="C248" s="1">
        <v>200</v>
      </c>
      <c r="D248" s="5" t="s">
        <v>10</v>
      </c>
      <c r="E248" s="5" t="s">
        <v>69</v>
      </c>
      <c r="F248" s="6">
        <v>25.73</v>
      </c>
      <c r="G248" s="1">
        <v>26.24</v>
      </c>
      <c r="H248" s="2">
        <v>46022</v>
      </c>
      <c r="I248" s="15">
        <f ca="1">TODAY()-Base_Relatório[[#This Row],[Plantio]]</f>
        <v>217</v>
      </c>
      <c r="K248" s="14">
        <v>46142</v>
      </c>
      <c r="L248" s="14" t="s">
        <v>190</v>
      </c>
      <c r="M248" s="3">
        <v>1066.6666666666667</v>
      </c>
      <c r="N248" s="4">
        <v>0.15328454930906241</v>
      </c>
      <c r="O248" s="5" t="s">
        <v>156</v>
      </c>
      <c r="P248" s="5" t="s">
        <v>12</v>
      </c>
      <c r="Q248" s="5" t="s">
        <v>15</v>
      </c>
      <c r="R248" s="2"/>
      <c r="S248" s="5" t="s">
        <v>126</v>
      </c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 spans="2:33" hidden="1" x14ac:dyDescent="0.35">
      <c r="B249" s="5" t="s">
        <v>21</v>
      </c>
      <c r="C249" s="1">
        <v>200</v>
      </c>
      <c r="D249" s="5" t="s">
        <v>10</v>
      </c>
      <c r="E249" s="5" t="s">
        <v>70</v>
      </c>
      <c r="F249" s="6">
        <v>23.2</v>
      </c>
      <c r="H249" s="2">
        <v>46131</v>
      </c>
      <c r="I249" s="15">
        <f ca="1">TODAY()-Base_Relatório[[#This Row],[Plantio]]</f>
        <v>108</v>
      </c>
      <c r="K249" s="14">
        <v>46251</v>
      </c>
      <c r="L249" s="14" t="s">
        <v>189</v>
      </c>
      <c r="M249" s="3"/>
      <c r="N249" s="4"/>
      <c r="O249" s="5" t="s">
        <v>21</v>
      </c>
      <c r="P249" s="5" t="s">
        <v>21</v>
      </c>
      <c r="Q249" s="5" t="s">
        <v>21</v>
      </c>
      <c r="R249" s="2"/>
      <c r="S249" s="5" t="s">
        <v>126</v>
      </c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 spans="2:33" hidden="1" x14ac:dyDescent="0.35">
      <c r="B250" s="5" t="s">
        <v>21</v>
      </c>
      <c r="C250" s="1">
        <v>200</v>
      </c>
      <c r="D250" s="5" t="s">
        <v>10</v>
      </c>
      <c r="E250" s="5" t="s">
        <v>71</v>
      </c>
      <c r="F250" s="6">
        <v>31.7</v>
      </c>
      <c r="H250" s="2">
        <v>46132</v>
      </c>
      <c r="I250" s="15">
        <f ca="1">TODAY()-Base_Relatório[[#This Row],[Plantio]]</f>
        <v>107</v>
      </c>
      <c r="K250" s="14">
        <v>46252</v>
      </c>
      <c r="L250" s="14" t="s">
        <v>189</v>
      </c>
      <c r="M250" s="3"/>
      <c r="N250" s="4"/>
      <c r="O250" s="5" t="s">
        <v>21</v>
      </c>
      <c r="P250" s="5" t="s">
        <v>21</v>
      </c>
      <c r="Q250" s="5" t="s">
        <v>21</v>
      </c>
      <c r="R250" s="2"/>
      <c r="S250" s="5" t="s">
        <v>126</v>
      </c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 spans="2:33" hidden="1" x14ac:dyDescent="0.35">
      <c r="B251" s="5" t="s">
        <v>21</v>
      </c>
      <c r="C251" s="1">
        <v>200</v>
      </c>
      <c r="D251" s="5" t="s">
        <v>10</v>
      </c>
      <c r="E251" s="5" t="s">
        <v>93</v>
      </c>
      <c r="F251" s="6">
        <v>60.44</v>
      </c>
      <c r="H251" s="2">
        <v>46132</v>
      </c>
      <c r="I251" s="15">
        <f ca="1">TODAY()-Base_Relatório[[#This Row],[Plantio]]</f>
        <v>107</v>
      </c>
      <c r="K251" s="14">
        <v>46252</v>
      </c>
      <c r="L251" s="14" t="s">
        <v>189</v>
      </c>
      <c r="M251" s="3"/>
      <c r="N251" s="4"/>
      <c r="O251" s="5" t="s">
        <v>21</v>
      </c>
      <c r="P251" s="5" t="s">
        <v>21</v>
      </c>
      <c r="Q251" s="5" t="s">
        <v>21</v>
      </c>
      <c r="R251" s="2"/>
      <c r="S251" s="5" t="s">
        <v>126</v>
      </c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 spans="2:33" hidden="1" x14ac:dyDescent="0.35">
      <c r="B252" s="5" t="s">
        <v>21</v>
      </c>
      <c r="C252" s="1">
        <v>200</v>
      </c>
      <c r="D252" s="5" t="s">
        <v>10</v>
      </c>
      <c r="E252" s="5" t="s">
        <v>72</v>
      </c>
      <c r="F252" s="6">
        <v>55.8</v>
      </c>
      <c r="H252" s="2">
        <v>46133</v>
      </c>
      <c r="I252" s="15">
        <f ca="1">TODAY()-Base_Relatório[[#This Row],[Plantio]]</f>
        <v>106</v>
      </c>
      <c r="K252" s="14">
        <v>46253</v>
      </c>
      <c r="L252" s="14" t="s">
        <v>189</v>
      </c>
      <c r="M252" s="3"/>
      <c r="N252" s="4">
        <v>0.14856422396980692</v>
      </c>
      <c r="O252" s="5" t="s">
        <v>160</v>
      </c>
      <c r="P252" s="5" t="s">
        <v>21</v>
      </c>
      <c r="Q252" s="5" t="s">
        <v>15</v>
      </c>
      <c r="R252" s="2"/>
      <c r="S252" s="5" t="s">
        <v>126</v>
      </c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 spans="2:33" hidden="1" x14ac:dyDescent="0.35">
      <c r="B253" s="5" t="s">
        <v>21</v>
      </c>
      <c r="C253" s="1">
        <v>200</v>
      </c>
      <c r="D253" s="5" t="s">
        <v>10</v>
      </c>
      <c r="E253" s="5" t="s">
        <v>94</v>
      </c>
      <c r="F253" s="6">
        <v>46.6</v>
      </c>
      <c r="H253" s="2">
        <v>46148</v>
      </c>
      <c r="I253" s="15">
        <f ca="1">TODAY()-Base_Relatório[[#This Row],[Plantio]]</f>
        <v>91</v>
      </c>
      <c r="K253" s="14">
        <v>46268</v>
      </c>
      <c r="L253" s="14" t="s">
        <v>189</v>
      </c>
      <c r="M253" s="3"/>
      <c r="N253" s="4"/>
      <c r="O253" s="5" t="s">
        <v>21</v>
      </c>
      <c r="P253" s="5" t="s">
        <v>21</v>
      </c>
      <c r="Q253" s="5" t="s">
        <v>21</v>
      </c>
      <c r="R253" s="2"/>
      <c r="S253" s="5" t="s">
        <v>126</v>
      </c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 spans="2:33" hidden="1" x14ac:dyDescent="0.35">
      <c r="B254" s="5" t="s">
        <v>21</v>
      </c>
      <c r="C254" s="1">
        <v>200</v>
      </c>
      <c r="D254" s="5" t="s">
        <v>10</v>
      </c>
      <c r="E254" s="5" t="s">
        <v>73</v>
      </c>
      <c r="F254" s="6">
        <v>47</v>
      </c>
      <c r="H254" s="2">
        <v>46119</v>
      </c>
      <c r="I254" s="15">
        <f ca="1">TODAY()-Base_Relatório[[#This Row],[Plantio]]</f>
        <v>120</v>
      </c>
      <c r="K254" s="14">
        <v>46239</v>
      </c>
      <c r="L254" s="14" t="s">
        <v>189</v>
      </c>
      <c r="M254" s="3"/>
      <c r="N254" s="4">
        <v>0.19911930203495254</v>
      </c>
      <c r="O254" s="5" t="s">
        <v>156</v>
      </c>
      <c r="P254" s="5" t="s">
        <v>21</v>
      </c>
      <c r="Q254" s="5" t="s">
        <v>15</v>
      </c>
      <c r="R254" s="2"/>
      <c r="S254" s="5" t="s">
        <v>126</v>
      </c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 spans="2:33" hidden="1" x14ac:dyDescent="0.35">
      <c r="B255" s="5" t="s">
        <v>21</v>
      </c>
      <c r="C255" s="1">
        <v>200</v>
      </c>
      <c r="D255" s="5" t="s">
        <v>10</v>
      </c>
      <c r="E255" s="5" t="s">
        <v>74</v>
      </c>
      <c r="F255" s="6">
        <v>50.2</v>
      </c>
      <c r="H255" s="2">
        <v>46121</v>
      </c>
      <c r="I255" s="15">
        <f ca="1">TODAY()-Base_Relatório[[#This Row],[Plantio]]</f>
        <v>118</v>
      </c>
      <c r="K255" s="14">
        <v>46241</v>
      </c>
      <c r="L255" s="14" t="s">
        <v>189</v>
      </c>
      <c r="M255" s="3"/>
      <c r="N255" s="4">
        <v>0.16055335640342802</v>
      </c>
      <c r="O255" s="5" t="s">
        <v>156</v>
      </c>
      <c r="P255" s="5" t="s">
        <v>21</v>
      </c>
      <c r="Q255" s="5" t="s">
        <v>15</v>
      </c>
      <c r="R255" s="2"/>
      <c r="S255" s="5" t="s">
        <v>126</v>
      </c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 spans="2:33" hidden="1" x14ac:dyDescent="0.35">
      <c r="B256" s="5" t="s">
        <v>21</v>
      </c>
      <c r="C256" s="1">
        <v>200</v>
      </c>
      <c r="D256" s="5" t="s">
        <v>10</v>
      </c>
      <c r="E256" s="5" t="s">
        <v>96</v>
      </c>
      <c r="F256" s="6">
        <v>44.9</v>
      </c>
      <c r="H256" s="2">
        <v>46142</v>
      </c>
      <c r="I256" s="15">
        <f ca="1">TODAY()-Base_Relatório[[#This Row],[Plantio]]</f>
        <v>97</v>
      </c>
      <c r="K256" s="14">
        <v>46262</v>
      </c>
      <c r="L256" s="14" t="s">
        <v>189</v>
      </c>
      <c r="M256" s="3"/>
      <c r="N256" s="4"/>
      <c r="O256" s="5" t="s">
        <v>21</v>
      </c>
      <c r="P256" s="5" t="s">
        <v>21</v>
      </c>
      <c r="Q256" s="5" t="s">
        <v>21</v>
      </c>
      <c r="R256" s="2"/>
      <c r="S256" s="5" t="s">
        <v>126</v>
      </c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 spans="2:33" hidden="1" x14ac:dyDescent="0.35">
      <c r="B257" s="5" t="s">
        <v>21</v>
      </c>
      <c r="C257" s="1">
        <v>200</v>
      </c>
      <c r="D257" s="5" t="s">
        <v>10</v>
      </c>
      <c r="E257" s="5" t="s">
        <v>75</v>
      </c>
      <c r="F257" s="6">
        <v>30.6</v>
      </c>
      <c r="H257" s="2">
        <v>46113</v>
      </c>
      <c r="I257" s="15">
        <f ca="1">TODAY()-Base_Relatório[[#This Row],[Plantio]]</f>
        <v>126</v>
      </c>
      <c r="K257" s="14">
        <v>46233</v>
      </c>
      <c r="L257" s="14" t="s">
        <v>190</v>
      </c>
      <c r="M257" s="3"/>
      <c r="N257" s="4">
        <v>0.22523374742473992</v>
      </c>
      <c r="O257" s="5" t="s">
        <v>157</v>
      </c>
      <c r="P257" s="5" t="s">
        <v>21</v>
      </c>
      <c r="Q257" s="5" t="s">
        <v>158</v>
      </c>
      <c r="R257" s="2"/>
      <c r="S257" s="5" t="s">
        <v>126</v>
      </c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 spans="2:33" hidden="1" x14ac:dyDescent="0.35">
      <c r="B258" s="5" t="s">
        <v>21</v>
      </c>
      <c r="C258" s="1">
        <v>200</v>
      </c>
      <c r="D258" s="5" t="s">
        <v>10</v>
      </c>
      <c r="E258" s="5" t="s">
        <v>78</v>
      </c>
      <c r="F258" s="6">
        <v>44.08</v>
      </c>
      <c r="G258" s="1">
        <v>42.2</v>
      </c>
      <c r="H258" s="2">
        <v>46101</v>
      </c>
      <c r="I258" s="15">
        <f ca="1">TODAY()-Base_Relatório[[#This Row],[Plantio]]</f>
        <v>138</v>
      </c>
      <c r="K258" s="14">
        <v>46221</v>
      </c>
      <c r="L258" s="14" t="s">
        <v>190</v>
      </c>
      <c r="M258" s="3">
        <v>1160</v>
      </c>
      <c r="N258" s="4">
        <v>0.17192375775825086</v>
      </c>
      <c r="O258" s="5" t="s">
        <v>156</v>
      </c>
      <c r="P258" s="5" t="s">
        <v>9</v>
      </c>
      <c r="Q258" s="5" t="s">
        <v>15</v>
      </c>
      <c r="R258" s="2"/>
      <c r="S258" s="5" t="s">
        <v>126</v>
      </c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 spans="2:33" hidden="1" x14ac:dyDescent="0.35">
      <c r="B259" s="5" t="s">
        <v>21</v>
      </c>
      <c r="C259" s="1">
        <v>200</v>
      </c>
      <c r="D259" s="5" t="s">
        <v>10</v>
      </c>
      <c r="E259" s="5" t="s">
        <v>79</v>
      </c>
      <c r="F259" s="6">
        <v>36.64</v>
      </c>
      <c r="H259" s="2">
        <v>46107</v>
      </c>
      <c r="I259" s="15">
        <f ca="1">TODAY()-Base_Relatório[[#This Row],[Plantio]]</f>
        <v>132</v>
      </c>
      <c r="K259" s="14">
        <v>46227</v>
      </c>
      <c r="L259" s="14" t="s">
        <v>190</v>
      </c>
      <c r="M259" s="3"/>
      <c r="N259" s="4">
        <v>0.15815648059703871</v>
      </c>
      <c r="O259" s="5" t="s">
        <v>156</v>
      </c>
      <c r="P259" s="5" t="s">
        <v>21</v>
      </c>
      <c r="Q259" s="5" t="s">
        <v>15</v>
      </c>
      <c r="R259" s="2"/>
      <c r="S259" s="5" t="s">
        <v>126</v>
      </c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 spans="2:33" hidden="1" x14ac:dyDescent="0.35">
      <c r="B260" s="5" t="s">
        <v>21</v>
      </c>
      <c r="C260" s="1">
        <v>200</v>
      </c>
      <c r="D260" s="5" t="s">
        <v>10</v>
      </c>
      <c r="E260" s="5" t="s">
        <v>81</v>
      </c>
      <c r="F260" s="6">
        <v>65.180000000000007</v>
      </c>
      <c r="G260" s="1">
        <v>11.15</v>
      </c>
      <c r="H260" s="2">
        <v>46097</v>
      </c>
      <c r="I260" s="15">
        <f ca="1">TODAY()-Base_Relatório[[#This Row],[Plantio]]</f>
        <v>142</v>
      </c>
      <c r="K260" s="14">
        <v>46217</v>
      </c>
      <c r="L260" s="14" t="s">
        <v>190</v>
      </c>
      <c r="M260" s="3">
        <v>968.75</v>
      </c>
      <c r="N260" s="4">
        <v>0.22375369600157294</v>
      </c>
      <c r="O260" s="5" t="s">
        <v>157</v>
      </c>
      <c r="P260" s="5" t="s">
        <v>12</v>
      </c>
      <c r="Q260" s="5" t="s">
        <v>158</v>
      </c>
      <c r="R260" s="2"/>
      <c r="S260" s="5" t="s">
        <v>126</v>
      </c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 spans="2:33" hidden="1" x14ac:dyDescent="0.35">
      <c r="B261" s="5" t="s">
        <v>21</v>
      </c>
      <c r="C261" s="1">
        <v>200</v>
      </c>
      <c r="D261" s="5" t="s">
        <v>10</v>
      </c>
      <c r="E261" s="5" t="s">
        <v>139</v>
      </c>
      <c r="F261" s="6">
        <v>49.72</v>
      </c>
      <c r="H261" s="2">
        <v>46137</v>
      </c>
      <c r="I261" s="15">
        <f ca="1">TODAY()-Base_Relatório[[#This Row],[Plantio]]</f>
        <v>102</v>
      </c>
      <c r="K261" s="14">
        <v>46257</v>
      </c>
      <c r="L261" s="14" t="s">
        <v>189</v>
      </c>
      <c r="M261" s="3"/>
      <c r="N261" s="4"/>
      <c r="O261" s="5" t="s">
        <v>21</v>
      </c>
      <c r="P261" s="5" t="s">
        <v>21</v>
      </c>
      <c r="Q261" s="5" t="s">
        <v>21</v>
      </c>
      <c r="R261" s="2"/>
      <c r="S261" s="5" t="s">
        <v>126</v>
      </c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 spans="2:33" hidden="1" x14ac:dyDescent="0.35">
      <c r="B262" s="5" t="s">
        <v>21</v>
      </c>
      <c r="C262" s="1">
        <v>200</v>
      </c>
      <c r="D262" s="5" t="s">
        <v>10</v>
      </c>
      <c r="E262" s="5" t="s">
        <v>140</v>
      </c>
      <c r="F262" s="6">
        <v>51.88</v>
      </c>
      <c r="H262" s="2">
        <v>46140</v>
      </c>
      <c r="I262" s="15">
        <f ca="1">TODAY()-Base_Relatório[[#This Row],[Plantio]]</f>
        <v>99</v>
      </c>
      <c r="K262" s="14">
        <v>46260</v>
      </c>
      <c r="L262" s="14" t="s">
        <v>189</v>
      </c>
      <c r="M262" s="3"/>
      <c r="N262" s="4"/>
      <c r="O262" s="5" t="s">
        <v>21</v>
      </c>
      <c r="P262" s="5" t="s">
        <v>21</v>
      </c>
      <c r="Q262" s="5" t="s">
        <v>21</v>
      </c>
      <c r="R262" s="2"/>
      <c r="S262" s="5" t="s">
        <v>126</v>
      </c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 spans="2:33" x14ac:dyDescent="0.35">
      <c r="B263" s="5" t="s">
        <v>21</v>
      </c>
      <c r="C263" s="1">
        <v>205</v>
      </c>
      <c r="D263" s="5" t="s">
        <v>82</v>
      </c>
      <c r="E263" s="5" t="s">
        <v>20</v>
      </c>
      <c r="F263" s="6">
        <v>38.340000000000003</v>
      </c>
      <c r="G263" s="1">
        <v>36.99</v>
      </c>
      <c r="H263" s="2">
        <v>46078</v>
      </c>
      <c r="I263" s="15">
        <f ca="1">TODAY()-Base_Relatório[[#This Row],[Plantio]]</f>
        <v>161</v>
      </c>
      <c r="K263" s="14">
        <v>46198</v>
      </c>
      <c r="L263" s="14" t="s">
        <v>190</v>
      </c>
      <c r="M263" s="3">
        <v>1150</v>
      </c>
      <c r="N263" s="4">
        <v>0.15436340215787844</v>
      </c>
      <c r="O263" s="5" t="s">
        <v>156</v>
      </c>
      <c r="P263" s="5" t="s">
        <v>9</v>
      </c>
      <c r="Q263" s="5" t="s">
        <v>15</v>
      </c>
      <c r="R263" s="2"/>
      <c r="S263" s="5" t="s">
        <v>127</v>
      </c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 spans="2:33" x14ac:dyDescent="0.35">
      <c r="B264" s="5" t="s">
        <v>21</v>
      </c>
      <c r="C264" s="1">
        <v>205</v>
      </c>
      <c r="D264" s="5" t="s">
        <v>82</v>
      </c>
      <c r="E264" s="5" t="s">
        <v>22</v>
      </c>
      <c r="F264" s="6">
        <v>14.6</v>
      </c>
      <c r="G264" s="1">
        <v>14.66</v>
      </c>
      <c r="H264" s="2">
        <v>46072</v>
      </c>
      <c r="I264" s="15">
        <f ca="1">TODAY()-Base_Relatório[[#This Row],[Plantio]]</f>
        <v>167</v>
      </c>
      <c r="K264" s="14">
        <v>46192</v>
      </c>
      <c r="L264" s="14" t="s">
        <v>190</v>
      </c>
      <c r="M264" s="3">
        <v>1245</v>
      </c>
      <c r="N264" s="4">
        <v>0.14665772175286076</v>
      </c>
      <c r="O264" s="5" t="s">
        <v>160</v>
      </c>
      <c r="P264" s="5" t="s">
        <v>18</v>
      </c>
      <c r="Q264" s="5" t="s">
        <v>15</v>
      </c>
      <c r="R264" s="2"/>
      <c r="S264" s="5" t="s">
        <v>127</v>
      </c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 spans="2:33" x14ac:dyDescent="0.35">
      <c r="B265" s="5" t="s">
        <v>21</v>
      </c>
      <c r="C265" s="1">
        <v>205</v>
      </c>
      <c r="D265" s="5" t="s">
        <v>82</v>
      </c>
      <c r="E265" s="5" t="s">
        <v>23</v>
      </c>
      <c r="F265" s="6">
        <v>33.1</v>
      </c>
      <c r="G265" s="1">
        <v>28.86</v>
      </c>
      <c r="H265" s="2">
        <v>46071</v>
      </c>
      <c r="I265" s="15">
        <f ca="1">TODAY()-Base_Relatório[[#This Row],[Plantio]]</f>
        <v>168</v>
      </c>
      <c r="K265" s="14">
        <v>46191</v>
      </c>
      <c r="L265" s="14" t="s">
        <v>190</v>
      </c>
      <c r="M265" s="3">
        <v>1137.5</v>
      </c>
      <c r="N265" s="4">
        <v>0.19984858881191125</v>
      </c>
      <c r="O265" s="5" t="s">
        <v>156</v>
      </c>
      <c r="P265" s="5" t="s">
        <v>9</v>
      </c>
      <c r="Q265" s="5" t="s">
        <v>15</v>
      </c>
      <c r="R265" s="2"/>
      <c r="S265" s="5" t="s">
        <v>127</v>
      </c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 spans="2:33" x14ac:dyDescent="0.35">
      <c r="B266" s="5" t="s">
        <v>21</v>
      </c>
      <c r="C266" s="1">
        <v>205</v>
      </c>
      <c r="D266" s="5" t="s">
        <v>82</v>
      </c>
      <c r="E266" s="5" t="s">
        <v>24</v>
      </c>
      <c r="F266" s="6">
        <v>41.42</v>
      </c>
      <c r="G266" s="1">
        <v>40.56</v>
      </c>
      <c r="H266" s="2">
        <v>46065</v>
      </c>
      <c r="I266" s="15">
        <f ca="1">TODAY()-Base_Relatório[[#This Row],[Plantio]]</f>
        <v>174</v>
      </c>
      <c r="K266" s="14">
        <v>46185</v>
      </c>
      <c r="L266" s="14" t="s">
        <v>190</v>
      </c>
      <c r="M266" s="3">
        <v>1060</v>
      </c>
      <c r="N266" s="4">
        <v>0.27949622637827309</v>
      </c>
      <c r="O266" s="5" t="s">
        <v>159</v>
      </c>
      <c r="P266" s="5" t="s">
        <v>12</v>
      </c>
      <c r="Q266" s="5" t="s">
        <v>158</v>
      </c>
      <c r="R266" s="2"/>
      <c r="S266" s="5" t="s">
        <v>127</v>
      </c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 spans="2:33" x14ac:dyDescent="0.35">
      <c r="B267" s="5" t="s">
        <v>21</v>
      </c>
      <c r="C267" s="1">
        <v>205</v>
      </c>
      <c r="D267" s="5" t="s">
        <v>82</v>
      </c>
      <c r="E267" s="5" t="s">
        <v>11</v>
      </c>
      <c r="F267" s="6">
        <v>28.4</v>
      </c>
      <c r="H267" s="2">
        <v>46119</v>
      </c>
      <c r="I267" s="15">
        <f ca="1">TODAY()-Base_Relatório[[#This Row],[Plantio]]</f>
        <v>120</v>
      </c>
      <c r="K267" s="14">
        <v>46239</v>
      </c>
      <c r="L267" s="14" t="s">
        <v>189</v>
      </c>
      <c r="M267" s="3"/>
      <c r="N267" s="4"/>
      <c r="O267" s="5" t="s">
        <v>21</v>
      </c>
      <c r="P267" s="5" t="s">
        <v>21</v>
      </c>
      <c r="Q267" s="5" t="s">
        <v>21</v>
      </c>
      <c r="R267" s="2"/>
      <c r="S267" s="5" t="s">
        <v>127</v>
      </c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 spans="2:33" x14ac:dyDescent="0.35">
      <c r="B268" s="5" t="s">
        <v>21</v>
      </c>
      <c r="C268" s="1">
        <v>205</v>
      </c>
      <c r="D268" s="5" t="s">
        <v>82</v>
      </c>
      <c r="E268" s="5" t="s">
        <v>48</v>
      </c>
      <c r="F268" s="6">
        <v>23.97</v>
      </c>
      <c r="H268" s="2">
        <v>46114</v>
      </c>
      <c r="I268" s="15">
        <f ca="1">TODAY()-Base_Relatório[[#This Row],[Plantio]]</f>
        <v>125</v>
      </c>
      <c r="K268" s="14">
        <v>46234</v>
      </c>
      <c r="L268" s="14" t="s">
        <v>190</v>
      </c>
      <c r="M268" s="3"/>
      <c r="N268" s="4"/>
      <c r="O268" s="5" t="s">
        <v>21</v>
      </c>
      <c r="P268" s="5" t="s">
        <v>21</v>
      </c>
      <c r="Q268" s="5" t="s">
        <v>21</v>
      </c>
      <c r="R268" s="2"/>
      <c r="S268" s="5" t="s">
        <v>127</v>
      </c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 spans="2:33" x14ac:dyDescent="0.35">
      <c r="B269" s="5" t="s">
        <v>21</v>
      </c>
      <c r="C269" s="1">
        <v>205</v>
      </c>
      <c r="D269" s="5" t="s">
        <v>82</v>
      </c>
      <c r="E269" s="5" t="s">
        <v>32</v>
      </c>
      <c r="F269" s="6">
        <v>16.86</v>
      </c>
      <c r="G269" s="1">
        <v>16.43</v>
      </c>
      <c r="H269" s="2">
        <v>46108</v>
      </c>
      <c r="I269" s="15">
        <f ca="1">TODAY()-Base_Relatório[[#This Row],[Plantio]]</f>
        <v>131</v>
      </c>
      <c r="K269" s="14">
        <v>46228</v>
      </c>
      <c r="L269" s="14" t="s">
        <v>190</v>
      </c>
      <c r="M269" s="3">
        <v>1175</v>
      </c>
      <c r="N269" s="4">
        <v>0.15338029341120596</v>
      </c>
      <c r="O269" s="5" t="s">
        <v>156</v>
      </c>
      <c r="P269" s="5" t="s">
        <v>9</v>
      </c>
      <c r="Q269" s="5" t="s">
        <v>15</v>
      </c>
      <c r="R269" s="2"/>
      <c r="S269" s="5" t="s">
        <v>127</v>
      </c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 spans="2:33" x14ac:dyDescent="0.35">
      <c r="B270" s="5" t="s">
        <v>21</v>
      </c>
      <c r="C270" s="1">
        <v>205</v>
      </c>
      <c r="D270" s="5" t="s">
        <v>82</v>
      </c>
      <c r="E270" s="5" t="s">
        <v>83</v>
      </c>
      <c r="F270" s="6">
        <v>3.7</v>
      </c>
      <c r="G270" s="1">
        <v>3.56</v>
      </c>
      <c r="H270" s="2">
        <v>46102</v>
      </c>
      <c r="I270" s="15">
        <f ca="1">TODAY()-Base_Relatório[[#This Row],[Plantio]]</f>
        <v>137</v>
      </c>
      <c r="K270" s="14">
        <v>46222</v>
      </c>
      <c r="L270" s="14" t="s">
        <v>190</v>
      </c>
      <c r="M270" s="3">
        <v>1200</v>
      </c>
      <c r="N270" s="4">
        <v>0.18265179337200746</v>
      </c>
      <c r="O270" s="5" t="s">
        <v>156</v>
      </c>
      <c r="P270" s="5" t="s">
        <v>9</v>
      </c>
      <c r="Q270" s="5" t="s">
        <v>15</v>
      </c>
      <c r="R270" s="2"/>
      <c r="S270" s="5" t="s">
        <v>127</v>
      </c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 spans="2:33" x14ac:dyDescent="0.35">
      <c r="B271" s="5" t="s">
        <v>21</v>
      </c>
      <c r="C271" s="1">
        <v>205</v>
      </c>
      <c r="D271" s="5" t="s">
        <v>82</v>
      </c>
      <c r="E271" s="5" t="s">
        <v>26</v>
      </c>
      <c r="F271" s="6">
        <v>16.899999999999999</v>
      </c>
      <c r="G271" s="1">
        <v>16.62</v>
      </c>
      <c r="H271" s="2">
        <v>46102</v>
      </c>
      <c r="I271" s="15">
        <f ca="1">TODAY()-Base_Relatório[[#This Row],[Plantio]]</f>
        <v>137</v>
      </c>
      <c r="K271" s="14">
        <v>46222</v>
      </c>
      <c r="L271" s="14" t="s">
        <v>190</v>
      </c>
      <c r="M271" s="3">
        <v>1125</v>
      </c>
      <c r="N271" s="4">
        <v>0.15602787959147441</v>
      </c>
      <c r="O271" s="5" t="s">
        <v>156</v>
      </c>
      <c r="P271" s="5" t="s">
        <v>9</v>
      </c>
      <c r="Q271" s="5" t="s">
        <v>15</v>
      </c>
      <c r="R271" s="2"/>
      <c r="S271" s="5" t="s">
        <v>127</v>
      </c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 spans="2:33" x14ac:dyDescent="0.35">
      <c r="B272" s="5" t="s">
        <v>21</v>
      </c>
      <c r="C272" s="1">
        <v>205</v>
      </c>
      <c r="D272" s="5" t="s">
        <v>82</v>
      </c>
      <c r="E272" s="5" t="s">
        <v>49</v>
      </c>
      <c r="F272" s="6">
        <v>17.7</v>
      </c>
      <c r="G272" s="1">
        <v>18.78</v>
      </c>
      <c r="H272" s="2">
        <v>46101</v>
      </c>
      <c r="I272" s="15">
        <f ca="1">TODAY()-Base_Relatório[[#This Row],[Plantio]]</f>
        <v>138</v>
      </c>
      <c r="K272" s="14">
        <v>46221</v>
      </c>
      <c r="L272" s="14" t="s">
        <v>190</v>
      </c>
      <c r="M272" s="3">
        <v>1107.1428571428571</v>
      </c>
      <c r="N272" s="4">
        <v>0.22821974755567173</v>
      </c>
      <c r="O272" s="5" t="s">
        <v>157</v>
      </c>
      <c r="P272" s="5" t="s">
        <v>9</v>
      </c>
      <c r="Q272" s="5" t="s">
        <v>158</v>
      </c>
      <c r="R272" s="2"/>
      <c r="S272" s="5" t="s">
        <v>127</v>
      </c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 spans="2:33" x14ac:dyDescent="0.35">
      <c r="B273" s="5" t="s">
        <v>21</v>
      </c>
      <c r="C273" s="1">
        <v>205</v>
      </c>
      <c r="D273" s="5" t="s">
        <v>82</v>
      </c>
      <c r="E273" s="5" t="s">
        <v>52</v>
      </c>
      <c r="F273" s="6">
        <v>25.3</v>
      </c>
      <c r="G273" s="1">
        <v>25.32</v>
      </c>
      <c r="H273" s="2">
        <v>46100</v>
      </c>
      <c r="I273" s="15">
        <f ca="1">TODAY()-Base_Relatório[[#This Row],[Plantio]]</f>
        <v>139</v>
      </c>
      <c r="K273" s="14">
        <v>46220</v>
      </c>
      <c r="L273" s="14" t="s">
        <v>190</v>
      </c>
      <c r="M273" s="3">
        <v>1144.4444444444443</v>
      </c>
      <c r="N273" s="4">
        <v>0.13677036910582618</v>
      </c>
      <c r="O273" s="5" t="s">
        <v>160</v>
      </c>
      <c r="P273" s="5" t="s">
        <v>9</v>
      </c>
      <c r="Q273" s="5" t="s">
        <v>15</v>
      </c>
      <c r="R273" s="2"/>
      <c r="S273" s="5" t="s">
        <v>127</v>
      </c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 spans="2:33" x14ac:dyDescent="0.35">
      <c r="B274" s="5" t="s">
        <v>21</v>
      </c>
      <c r="C274" s="1">
        <v>205</v>
      </c>
      <c r="D274" s="5" t="s">
        <v>82</v>
      </c>
      <c r="E274" s="5" t="s">
        <v>54</v>
      </c>
      <c r="F274" s="6">
        <v>51.3</v>
      </c>
      <c r="G274" s="1">
        <v>50.42</v>
      </c>
      <c r="H274" s="2">
        <v>46099</v>
      </c>
      <c r="I274" s="15">
        <f ca="1">TODAY()-Base_Relatório[[#This Row],[Plantio]]</f>
        <v>140</v>
      </c>
      <c r="K274" s="14">
        <v>46219</v>
      </c>
      <c r="L274" s="14" t="s">
        <v>190</v>
      </c>
      <c r="M274" s="3">
        <v>1118.421052631579</v>
      </c>
      <c r="N274" s="4"/>
      <c r="O274" s="5" t="s">
        <v>21</v>
      </c>
      <c r="P274" s="5" t="s">
        <v>9</v>
      </c>
      <c r="Q274" s="5" t="s">
        <v>21</v>
      </c>
      <c r="R274" s="2"/>
      <c r="S274" s="5" t="s">
        <v>127</v>
      </c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 spans="2:33" x14ac:dyDescent="0.35">
      <c r="B275" s="5" t="s">
        <v>21</v>
      </c>
      <c r="C275" s="1">
        <v>205</v>
      </c>
      <c r="D275" s="5" t="s">
        <v>82</v>
      </c>
      <c r="E275" s="5" t="s">
        <v>57</v>
      </c>
      <c r="F275" s="6">
        <v>13.9</v>
      </c>
      <c r="G275" s="1">
        <v>13.8</v>
      </c>
      <c r="H275" s="2">
        <v>46092</v>
      </c>
      <c r="I275" s="15">
        <f ca="1">TODAY()-Base_Relatório[[#This Row],[Plantio]]</f>
        <v>147</v>
      </c>
      <c r="K275" s="14">
        <v>46212</v>
      </c>
      <c r="L275" s="14" t="s">
        <v>190</v>
      </c>
      <c r="M275" s="3">
        <v>1185</v>
      </c>
      <c r="N275" s="4">
        <v>0.21817459569663794</v>
      </c>
      <c r="O275" s="5" t="s">
        <v>157</v>
      </c>
      <c r="P275" s="5" t="s">
        <v>9</v>
      </c>
      <c r="Q275" s="5" t="s">
        <v>158</v>
      </c>
      <c r="R275" s="2"/>
      <c r="S275" s="5" t="s">
        <v>127</v>
      </c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 spans="2:33" x14ac:dyDescent="0.35">
      <c r="B276" s="5" t="s">
        <v>21</v>
      </c>
      <c r="C276" s="1">
        <v>205</v>
      </c>
      <c r="D276" s="5" t="s">
        <v>82</v>
      </c>
      <c r="E276" s="5" t="s">
        <v>84</v>
      </c>
      <c r="F276" s="6">
        <v>12.8</v>
      </c>
      <c r="G276" s="1">
        <v>12.74</v>
      </c>
      <c r="H276" s="2">
        <v>46091</v>
      </c>
      <c r="I276" s="15">
        <f ca="1">TODAY()-Base_Relatório[[#This Row],[Plantio]]</f>
        <v>148</v>
      </c>
      <c r="K276" s="14">
        <v>46211</v>
      </c>
      <c r="L276" s="14" t="s">
        <v>190</v>
      </c>
      <c r="M276" s="3">
        <v>1170</v>
      </c>
      <c r="N276" s="4">
        <v>0.11835521746497317</v>
      </c>
      <c r="O276" s="5" t="s">
        <v>160</v>
      </c>
      <c r="P276" s="5" t="s">
        <v>9</v>
      </c>
      <c r="Q276" s="5" t="s">
        <v>15</v>
      </c>
      <c r="R276" s="2"/>
      <c r="S276" s="5" t="s">
        <v>127</v>
      </c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 spans="2:33" x14ac:dyDescent="0.35">
      <c r="B277" s="5" t="s">
        <v>21</v>
      </c>
      <c r="C277" s="1">
        <v>205</v>
      </c>
      <c r="D277" s="5" t="s">
        <v>82</v>
      </c>
      <c r="E277" s="5" t="s">
        <v>33</v>
      </c>
      <c r="F277" s="6">
        <v>15</v>
      </c>
      <c r="G277" s="1">
        <v>14.87</v>
      </c>
      <c r="H277" s="2">
        <v>46088</v>
      </c>
      <c r="I277" s="15">
        <f ca="1">TODAY()-Base_Relatório[[#This Row],[Plantio]]</f>
        <v>151</v>
      </c>
      <c r="K277" s="14">
        <v>46208</v>
      </c>
      <c r="L277" s="14" t="s">
        <v>190</v>
      </c>
      <c r="M277" s="3">
        <v>1175</v>
      </c>
      <c r="N277" s="4">
        <v>0.11021706431166127</v>
      </c>
      <c r="O277" s="5" t="s">
        <v>160</v>
      </c>
      <c r="P277" s="5" t="s">
        <v>9</v>
      </c>
      <c r="Q277" s="5" t="s">
        <v>15</v>
      </c>
      <c r="R277" s="2"/>
      <c r="S277" s="5" t="s">
        <v>127</v>
      </c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 spans="2:33" x14ac:dyDescent="0.35">
      <c r="B278" s="5" t="s">
        <v>21</v>
      </c>
      <c r="C278" s="1">
        <v>205</v>
      </c>
      <c r="D278" s="5" t="s">
        <v>82</v>
      </c>
      <c r="E278" s="5" t="s">
        <v>46</v>
      </c>
      <c r="F278" s="6">
        <v>42.5</v>
      </c>
      <c r="G278" s="1">
        <v>41.78</v>
      </c>
      <c r="H278" s="2">
        <v>46086</v>
      </c>
      <c r="I278" s="15">
        <f ca="1">TODAY()-Base_Relatório[[#This Row],[Plantio]]</f>
        <v>153</v>
      </c>
      <c r="K278" s="14">
        <v>46206</v>
      </c>
      <c r="L278" s="14" t="s">
        <v>190</v>
      </c>
      <c r="M278" s="3">
        <v>1130</v>
      </c>
      <c r="N278" s="4">
        <v>0.13417590535625576</v>
      </c>
      <c r="O278" s="5" t="s">
        <v>160</v>
      </c>
      <c r="P278" s="5" t="s">
        <v>9</v>
      </c>
      <c r="Q278" s="5" t="s">
        <v>15</v>
      </c>
      <c r="R278" s="2"/>
      <c r="S278" s="5" t="s">
        <v>127</v>
      </c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 spans="2:33" x14ac:dyDescent="0.35">
      <c r="B279" s="5" t="s">
        <v>21</v>
      </c>
      <c r="C279" s="1">
        <v>211</v>
      </c>
      <c r="D279" s="5" t="s">
        <v>86</v>
      </c>
      <c r="E279" s="5" t="s">
        <v>23</v>
      </c>
      <c r="F279" s="6">
        <v>25.9</v>
      </c>
      <c r="H279" s="2">
        <v>46125</v>
      </c>
      <c r="I279" s="15">
        <f ca="1">TODAY()-Base_Relatório[[#This Row],[Plantio]]</f>
        <v>114</v>
      </c>
      <c r="K279" s="14">
        <v>46245</v>
      </c>
      <c r="L279" s="14" t="s">
        <v>189</v>
      </c>
      <c r="M279" s="3"/>
      <c r="N279" s="4"/>
      <c r="O279" s="5" t="s">
        <v>21</v>
      </c>
      <c r="P279" s="5" t="s">
        <v>21</v>
      </c>
      <c r="Q279" s="5" t="s">
        <v>21</v>
      </c>
      <c r="R279" s="2"/>
      <c r="S279" s="5" t="s">
        <v>127</v>
      </c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 spans="2:33" x14ac:dyDescent="0.35">
      <c r="B280" s="5" t="s">
        <v>21</v>
      </c>
      <c r="C280" s="1">
        <v>211</v>
      </c>
      <c r="D280" s="5" t="s">
        <v>86</v>
      </c>
      <c r="E280" s="5" t="s">
        <v>24</v>
      </c>
      <c r="F280" s="6">
        <v>37.1</v>
      </c>
      <c r="H280" s="2">
        <v>46129</v>
      </c>
      <c r="I280" s="15">
        <f ca="1">TODAY()-Base_Relatório[[#This Row],[Plantio]]</f>
        <v>110</v>
      </c>
      <c r="K280" s="14">
        <v>46249</v>
      </c>
      <c r="L280" s="14" t="s">
        <v>189</v>
      </c>
      <c r="M280" s="3"/>
      <c r="N280" s="4"/>
      <c r="O280" s="5" t="s">
        <v>21</v>
      </c>
      <c r="P280" s="5" t="s">
        <v>21</v>
      </c>
      <c r="Q280" s="5" t="s">
        <v>21</v>
      </c>
      <c r="R280" s="2"/>
      <c r="S280" s="5" t="s">
        <v>127</v>
      </c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 spans="2:33" x14ac:dyDescent="0.35">
      <c r="B281" s="5" t="s">
        <v>21</v>
      </c>
      <c r="C281" s="1">
        <v>211</v>
      </c>
      <c r="D281" s="5" t="s">
        <v>86</v>
      </c>
      <c r="E281" s="5" t="s">
        <v>31</v>
      </c>
      <c r="F281" s="6">
        <v>25.8</v>
      </c>
      <c r="H281" s="2">
        <v>46133</v>
      </c>
      <c r="I281" s="15">
        <f ca="1">TODAY()-Base_Relatório[[#This Row],[Plantio]]</f>
        <v>106</v>
      </c>
      <c r="K281" s="14">
        <v>46253</v>
      </c>
      <c r="L281" s="14" t="s">
        <v>189</v>
      </c>
      <c r="M281" s="3"/>
      <c r="N281" s="4"/>
      <c r="O281" s="5" t="s">
        <v>21</v>
      </c>
      <c r="P281" s="5" t="s">
        <v>21</v>
      </c>
      <c r="Q281" s="5" t="s">
        <v>21</v>
      </c>
      <c r="R281" s="2"/>
      <c r="S281" s="5" t="s">
        <v>127</v>
      </c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 spans="2:33" x14ac:dyDescent="0.35">
      <c r="B282" s="5" t="s">
        <v>21</v>
      </c>
      <c r="C282" s="1">
        <v>211</v>
      </c>
      <c r="D282" s="5" t="s">
        <v>86</v>
      </c>
      <c r="E282" s="5" t="s">
        <v>11</v>
      </c>
      <c r="F282" s="6">
        <v>28.2</v>
      </c>
      <c r="H282" s="2">
        <v>46151</v>
      </c>
      <c r="I282" s="15">
        <f ca="1">TODAY()-Base_Relatório[[#This Row],[Plantio]]</f>
        <v>88</v>
      </c>
      <c r="K282" s="14">
        <v>46271</v>
      </c>
      <c r="L282" s="14" t="s">
        <v>189</v>
      </c>
      <c r="M282" s="3"/>
      <c r="N282" s="4"/>
      <c r="O282" s="5" t="s">
        <v>21</v>
      </c>
      <c r="P282" s="5" t="s">
        <v>21</v>
      </c>
      <c r="Q282" s="5" t="s">
        <v>21</v>
      </c>
      <c r="R282" s="2"/>
      <c r="S282" s="5" t="s">
        <v>127</v>
      </c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 spans="2:33" x14ac:dyDescent="0.35">
      <c r="B283" s="5" t="s">
        <v>21</v>
      </c>
      <c r="C283" s="1">
        <v>211</v>
      </c>
      <c r="D283" s="5" t="s">
        <v>86</v>
      </c>
      <c r="E283" s="5" t="s">
        <v>32</v>
      </c>
      <c r="F283" s="6">
        <v>43</v>
      </c>
      <c r="H283" s="2">
        <v>46132</v>
      </c>
      <c r="I283" s="15">
        <f ca="1">TODAY()-Base_Relatório[[#This Row],[Plantio]]</f>
        <v>107</v>
      </c>
      <c r="K283" s="14">
        <v>46252</v>
      </c>
      <c r="L283" s="14" t="s">
        <v>189</v>
      </c>
      <c r="M283" s="3"/>
      <c r="N283" s="4"/>
      <c r="O283" s="5" t="s">
        <v>21</v>
      </c>
      <c r="P283" s="5" t="s">
        <v>21</v>
      </c>
      <c r="Q283" s="5" t="s">
        <v>21</v>
      </c>
      <c r="R283" s="2"/>
      <c r="S283" s="5" t="s">
        <v>127</v>
      </c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 spans="2:33" x14ac:dyDescent="0.35">
      <c r="B284" s="5" t="s">
        <v>21</v>
      </c>
      <c r="C284" s="1">
        <v>211</v>
      </c>
      <c r="D284" s="5" t="s">
        <v>86</v>
      </c>
      <c r="E284" s="5" t="s">
        <v>46</v>
      </c>
      <c r="F284" s="6">
        <v>47.4</v>
      </c>
      <c r="H284" s="2">
        <v>46146</v>
      </c>
      <c r="I284" s="15">
        <f ca="1">TODAY()-Base_Relatório[[#This Row],[Plantio]]</f>
        <v>93</v>
      </c>
      <c r="K284" s="14">
        <v>46266</v>
      </c>
      <c r="L284" s="14" t="s">
        <v>189</v>
      </c>
      <c r="M284" s="3"/>
      <c r="N284" s="4"/>
      <c r="O284" s="5" t="s">
        <v>21</v>
      </c>
      <c r="P284" s="5" t="s">
        <v>21</v>
      </c>
      <c r="Q284" s="5" t="s">
        <v>21</v>
      </c>
      <c r="R284" s="2"/>
      <c r="S284" s="5" t="s">
        <v>127</v>
      </c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 spans="2:33" x14ac:dyDescent="0.35">
      <c r="B285" s="5" t="s">
        <v>21</v>
      </c>
      <c r="C285" s="1">
        <v>211</v>
      </c>
      <c r="D285" s="5" t="s">
        <v>86</v>
      </c>
      <c r="E285" s="5" t="s">
        <v>28</v>
      </c>
      <c r="F285" s="6">
        <v>75.7</v>
      </c>
      <c r="H285" s="2">
        <v>46149</v>
      </c>
      <c r="I285" s="15">
        <f ca="1">TODAY()-Base_Relatório[[#This Row],[Plantio]]</f>
        <v>90</v>
      </c>
      <c r="K285" s="14">
        <v>46269</v>
      </c>
      <c r="L285" s="14" t="s">
        <v>189</v>
      </c>
      <c r="M285" s="3"/>
      <c r="N285" s="4"/>
      <c r="O285" s="5" t="s">
        <v>21</v>
      </c>
      <c r="P285" s="5" t="s">
        <v>21</v>
      </c>
      <c r="Q285" s="5" t="s">
        <v>21</v>
      </c>
      <c r="R285" s="2"/>
      <c r="S285" s="5" t="s">
        <v>127</v>
      </c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 spans="2:33" hidden="1" x14ac:dyDescent="0.35">
      <c r="B286" s="5" t="s">
        <v>21</v>
      </c>
      <c r="C286" s="1">
        <v>228</v>
      </c>
      <c r="D286" s="5" t="s">
        <v>88</v>
      </c>
      <c r="E286" s="5" t="s">
        <v>20</v>
      </c>
      <c r="F286" s="6">
        <v>50.28</v>
      </c>
      <c r="H286" s="2">
        <v>46183</v>
      </c>
      <c r="I286" s="15">
        <f ca="1">TODAY()-Base_Relatório[[#This Row],[Plantio]]</f>
        <v>56</v>
      </c>
      <c r="K286" s="14">
        <v>46303</v>
      </c>
      <c r="L286" s="14" t="s">
        <v>189</v>
      </c>
      <c r="M286" s="3"/>
      <c r="N286" s="4"/>
      <c r="O286" s="5" t="s">
        <v>21</v>
      </c>
      <c r="P286" s="5" t="s">
        <v>21</v>
      </c>
      <c r="Q286" s="5" t="s">
        <v>21</v>
      </c>
      <c r="R286" s="2"/>
      <c r="S286" s="5" t="s">
        <v>126</v>
      </c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 spans="2:33" hidden="1" x14ac:dyDescent="0.35">
      <c r="B287" s="5" t="s">
        <v>21</v>
      </c>
      <c r="C287" s="1">
        <v>228</v>
      </c>
      <c r="D287" s="5" t="s">
        <v>88</v>
      </c>
      <c r="E287" s="5" t="s">
        <v>22</v>
      </c>
      <c r="F287" s="6">
        <v>33.93</v>
      </c>
      <c r="H287" s="2">
        <v>46185</v>
      </c>
      <c r="I287" s="15">
        <f ca="1">TODAY()-Base_Relatório[[#This Row],[Plantio]]</f>
        <v>54</v>
      </c>
      <c r="K287" s="14">
        <v>46305</v>
      </c>
      <c r="L287" s="14" t="s">
        <v>189</v>
      </c>
      <c r="M287" s="3"/>
      <c r="N287" s="4"/>
      <c r="O287" s="5" t="s">
        <v>21</v>
      </c>
      <c r="P287" s="5" t="s">
        <v>21</v>
      </c>
      <c r="Q287" s="5" t="s">
        <v>21</v>
      </c>
      <c r="R287" s="2"/>
      <c r="S287" s="5" t="s">
        <v>126</v>
      </c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 spans="2:33" hidden="1" x14ac:dyDescent="0.35">
      <c r="B288" s="5" t="s">
        <v>21</v>
      </c>
      <c r="C288" s="1">
        <v>228</v>
      </c>
      <c r="D288" s="5" t="s">
        <v>88</v>
      </c>
      <c r="E288" s="5" t="s">
        <v>32</v>
      </c>
      <c r="F288" s="6">
        <v>27</v>
      </c>
      <c r="H288" s="2">
        <v>46188</v>
      </c>
      <c r="I288" s="15">
        <f ca="1">TODAY()-Base_Relatório[[#This Row],[Plantio]]</f>
        <v>51</v>
      </c>
      <c r="K288" s="14">
        <v>46308</v>
      </c>
      <c r="L288" s="14" t="s">
        <v>189</v>
      </c>
      <c r="M288" s="3"/>
      <c r="N288" s="4"/>
      <c r="O288" s="5" t="s">
        <v>21</v>
      </c>
      <c r="P288" s="5" t="s">
        <v>21</v>
      </c>
      <c r="Q288" s="5" t="s">
        <v>21</v>
      </c>
      <c r="R288" s="2"/>
      <c r="S288" s="5" t="s">
        <v>126</v>
      </c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 spans="2:33" hidden="1" x14ac:dyDescent="0.35">
      <c r="B289" s="5" t="s">
        <v>21</v>
      </c>
      <c r="C289" s="1">
        <v>228</v>
      </c>
      <c r="D289" s="5" t="s">
        <v>88</v>
      </c>
      <c r="E289" s="5" t="s">
        <v>26</v>
      </c>
      <c r="F289" s="6">
        <v>6</v>
      </c>
      <c r="H289" s="2">
        <v>46188</v>
      </c>
      <c r="I289" s="15">
        <f ca="1">TODAY()-Base_Relatório[[#This Row],[Plantio]]</f>
        <v>51</v>
      </c>
      <c r="K289" s="14">
        <v>46308</v>
      </c>
      <c r="L289" s="14" t="s">
        <v>189</v>
      </c>
      <c r="M289" s="3"/>
      <c r="N289" s="4"/>
      <c r="O289" s="5" t="s">
        <v>21</v>
      </c>
      <c r="P289" s="5" t="s">
        <v>21</v>
      </c>
      <c r="Q289" s="5" t="s">
        <v>21</v>
      </c>
      <c r="R289" s="2"/>
      <c r="S289" s="5" t="s">
        <v>126</v>
      </c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 spans="2:33" hidden="1" x14ac:dyDescent="0.35">
      <c r="B290" s="5" t="s">
        <v>21</v>
      </c>
      <c r="C290" s="1">
        <v>228</v>
      </c>
      <c r="D290" s="5" t="s">
        <v>88</v>
      </c>
      <c r="E290" s="5" t="s">
        <v>54</v>
      </c>
      <c r="F290" s="6">
        <v>35.06</v>
      </c>
      <c r="H290" s="2">
        <v>46179</v>
      </c>
      <c r="I290" s="15">
        <f ca="1">TODAY()-Base_Relatório[[#This Row],[Plantio]]</f>
        <v>60</v>
      </c>
      <c r="K290" s="14">
        <v>46299</v>
      </c>
      <c r="L290" s="14" t="s">
        <v>189</v>
      </c>
      <c r="M290" s="3"/>
      <c r="N290" s="4"/>
      <c r="O290" s="5" t="s">
        <v>21</v>
      </c>
      <c r="P290" s="5" t="s">
        <v>21</v>
      </c>
      <c r="Q290" s="5" t="s">
        <v>21</v>
      </c>
      <c r="R290" s="2"/>
      <c r="S290" s="5" t="s">
        <v>126</v>
      </c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 spans="2:33" hidden="1" x14ac:dyDescent="0.35">
      <c r="B291" s="5" t="s">
        <v>21</v>
      </c>
      <c r="C291" s="1">
        <v>228</v>
      </c>
      <c r="D291" s="5" t="s">
        <v>88</v>
      </c>
      <c r="E291" s="5" t="s">
        <v>38</v>
      </c>
      <c r="F291" s="6">
        <v>19.55</v>
      </c>
      <c r="H291" s="2">
        <v>46186</v>
      </c>
      <c r="I291" s="15">
        <f ca="1">TODAY()-Base_Relatório[[#This Row],[Plantio]]</f>
        <v>53</v>
      </c>
      <c r="K291" s="14">
        <v>46306</v>
      </c>
      <c r="L291" s="14" t="s">
        <v>189</v>
      </c>
      <c r="M291" s="3"/>
      <c r="N291" s="4"/>
      <c r="O291" s="5" t="s">
        <v>21</v>
      </c>
      <c r="P291" s="5" t="s">
        <v>21</v>
      </c>
      <c r="Q291" s="5" t="s">
        <v>21</v>
      </c>
      <c r="R291" s="2"/>
      <c r="S291" s="5" t="s">
        <v>126</v>
      </c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 spans="2:33" hidden="1" x14ac:dyDescent="0.35">
      <c r="B292" s="5" t="s">
        <v>21</v>
      </c>
      <c r="C292" s="1">
        <v>228</v>
      </c>
      <c r="D292" s="5" t="s">
        <v>88</v>
      </c>
      <c r="E292" s="5" t="s">
        <v>60</v>
      </c>
      <c r="F292" s="6">
        <v>31.64</v>
      </c>
      <c r="H292" s="2">
        <v>46177</v>
      </c>
      <c r="I292" s="15">
        <f ca="1">TODAY()-Base_Relatório[[#This Row],[Plantio]]</f>
        <v>62</v>
      </c>
      <c r="K292" s="14">
        <v>46297</v>
      </c>
      <c r="L292" s="14" t="s">
        <v>189</v>
      </c>
      <c r="M292" s="3"/>
      <c r="N292" s="4"/>
      <c r="O292" s="5" t="s">
        <v>21</v>
      </c>
      <c r="P292" s="5" t="s">
        <v>21</v>
      </c>
      <c r="Q292" s="5" t="s">
        <v>21</v>
      </c>
      <c r="R292" s="2"/>
      <c r="S292" s="5" t="s">
        <v>126</v>
      </c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 spans="2:33" hidden="1" x14ac:dyDescent="0.35">
      <c r="B293" s="5" t="s">
        <v>21</v>
      </c>
      <c r="C293" s="1">
        <v>228</v>
      </c>
      <c r="D293" s="5" t="s">
        <v>88</v>
      </c>
      <c r="E293" s="5" t="s">
        <v>89</v>
      </c>
      <c r="F293" s="6">
        <v>24.56</v>
      </c>
      <c r="G293" s="1">
        <v>24.68</v>
      </c>
      <c r="H293" s="2">
        <v>46102</v>
      </c>
      <c r="I293" s="15">
        <f ca="1">TODAY()-Base_Relatório[[#This Row],[Plantio]]</f>
        <v>137</v>
      </c>
      <c r="K293" s="14">
        <v>46222</v>
      </c>
      <c r="L293" s="14" t="s">
        <v>190</v>
      </c>
      <c r="M293" s="3">
        <v>1047.2222222222222</v>
      </c>
      <c r="N293" s="4">
        <v>0.17580759822326525</v>
      </c>
      <c r="O293" s="5" t="s">
        <v>156</v>
      </c>
      <c r="P293" s="5" t="s">
        <v>12</v>
      </c>
      <c r="Q293" s="5" t="s">
        <v>15</v>
      </c>
      <c r="R293" s="2"/>
      <c r="S293" s="5" t="s">
        <v>126</v>
      </c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 spans="2:33" hidden="1" x14ac:dyDescent="0.35">
      <c r="B294" s="5" t="s">
        <v>21</v>
      </c>
      <c r="C294" s="1">
        <v>228</v>
      </c>
      <c r="D294" s="5" t="s">
        <v>88</v>
      </c>
      <c r="E294" s="5" t="s">
        <v>61</v>
      </c>
      <c r="F294" s="6">
        <v>25.91</v>
      </c>
      <c r="G294" s="1">
        <v>25.86</v>
      </c>
      <c r="H294" s="2">
        <v>46101</v>
      </c>
      <c r="I294" s="15">
        <f ca="1">TODAY()-Base_Relatório[[#This Row],[Plantio]]</f>
        <v>138</v>
      </c>
      <c r="K294" s="14">
        <v>46221</v>
      </c>
      <c r="L294" s="14" t="s">
        <v>190</v>
      </c>
      <c r="M294" s="3">
        <v>1037.5</v>
      </c>
      <c r="N294" s="4">
        <v>0.23109069923559908</v>
      </c>
      <c r="O294" s="5" t="s">
        <v>157</v>
      </c>
      <c r="P294" s="5" t="s">
        <v>12</v>
      </c>
      <c r="Q294" s="5" t="s">
        <v>158</v>
      </c>
      <c r="R294" s="2"/>
      <c r="S294" s="5" t="s">
        <v>126</v>
      </c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 spans="2:33" hidden="1" x14ac:dyDescent="0.35">
      <c r="B295" s="5" t="s">
        <v>21</v>
      </c>
      <c r="C295" s="1">
        <v>228</v>
      </c>
      <c r="D295" s="5" t="s">
        <v>88</v>
      </c>
      <c r="E295" s="5" t="s">
        <v>66</v>
      </c>
      <c r="F295" s="6">
        <v>44.72</v>
      </c>
      <c r="G295" s="1">
        <v>45.59</v>
      </c>
      <c r="H295" s="2">
        <v>46098</v>
      </c>
      <c r="I295" s="15">
        <f ca="1">TODAY()-Base_Relatório[[#This Row],[Plantio]]</f>
        <v>141</v>
      </c>
      <c r="K295" s="14">
        <v>46218</v>
      </c>
      <c r="L295" s="14" t="s">
        <v>190</v>
      </c>
      <c r="M295" s="3">
        <v>1072.0588235294117</v>
      </c>
      <c r="N295" s="4">
        <v>0.16861935504885558</v>
      </c>
      <c r="O295" s="5" t="s">
        <v>156</v>
      </c>
      <c r="P295" s="5" t="s">
        <v>12</v>
      </c>
      <c r="Q295" s="5" t="s">
        <v>15</v>
      </c>
      <c r="R295" s="2"/>
      <c r="S295" s="5" t="s">
        <v>126</v>
      </c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 spans="2:33" hidden="1" x14ac:dyDescent="0.35">
      <c r="B296" s="5" t="s">
        <v>21</v>
      </c>
      <c r="C296" s="1">
        <v>228</v>
      </c>
      <c r="D296" s="5" t="s">
        <v>88</v>
      </c>
      <c r="E296" s="5" t="s">
        <v>68</v>
      </c>
      <c r="F296" s="6">
        <v>26.52</v>
      </c>
      <c r="G296" s="1">
        <v>26.82</v>
      </c>
      <c r="H296" s="2">
        <v>46101</v>
      </c>
      <c r="I296" s="15">
        <f ca="1">TODAY()-Base_Relatório[[#This Row],[Plantio]]</f>
        <v>138</v>
      </c>
      <c r="K296" s="14">
        <v>46221</v>
      </c>
      <c r="L296" s="14" t="s">
        <v>190</v>
      </c>
      <c r="M296" s="3">
        <v>1100</v>
      </c>
      <c r="N296" s="4"/>
      <c r="O296" s="5" t="s">
        <v>21</v>
      </c>
      <c r="P296" s="5" t="s">
        <v>9</v>
      </c>
      <c r="Q296" s="5" t="s">
        <v>21</v>
      </c>
      <c r="R296" s="2"/>
      <c r="S296" s="5" t="s">
        <v>126</v>
      </c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 spans="2:33" hidden="1" x14ac:dyDescent="0.35">
      <c r="B297" s="5" t="s">
        <v>21</v>
      </c>
      <c r="C297" s="1">
        <v>228</v>
      </c>
      <c r="D297" s="5" t="s">
        <v>88</v>
      </c>
      <c r="E297" s="5" t="s">
        <v>69</v>
      </c>
      <c r="F297" s="6">
        <v>21.61</v>
      </c>
      <c r="G297" s="1">
        <v>21.78</v>
      </c>
      <c r="H297" s="2">
        <v>46101</v>
      </c>
      <c r="I297" s="15">
        <f ca="1">TODAY()-Base_Relatório[[#This Row],[Plantio]]</f>
        <v>138</v>
      </c>
      <c r="K297" s="14">
        <v>46221</v>
      </c>
      <c r="L297" s="14" t="s">
        <v>190</v>
      </c>
      <c r="M297" s="3">
        <v>1068.75</v>
      </c>
      <c r="N297" s="4">
        <v>0.24955882157590281</v>
      </c>
      <c r="O297" s="5" t="s">
        <v>157</v>
      </c>
      <c r="P297" s="5" t="s">
        <v>12</v>
      </c>
      <c r="Q297" s="5" t="s">
        <v>158</v>
      </c>
      <c r="R297" s="2"/>
      <c r="S297" s="5" t="s">
        <v>126</v>
      </c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 spans="2:33" hidden="1" x14ac:dyDescent="0.35">
      <c r="B298" s="5" t="s">
        <v>21</v>
      </c>
      <c r="C298" s="1">
        <v>228</v>
      </c>
      <c r="D298" s="5" t="s">
        <v>88</v>
      </c>
      <c r="E298" s="5" t="s">
        <v>70</v>
      </c>
      <c r="F298" s="6">
        <v>20.32</v>
      </c>
      <c r="G298" s="1">
        <v>20.309999999999999</v>
      </c>
      <c r="H298" s="2">
        <v>46102</v>
      </c>
      <c r="I298" s="15">
        <f ca="1">TODAY()-Base_Relatório[[#This Row],[Plantio]]</f>
        <v>137</v>
      </c>
      <c r="K298" s="14">
        <v>46222</v>
      </c>
      <c r="L298" s="14" t="s">
        <v>190</v>
      </c>
      <c r="M298" s="3">
        <v>1035.7142857142858</v>
      </c>
      <c r="N298" s="4">
        <v>0.2937570594476932</v>
      </c>
      <c r="O298" s="5" t="s">
        <v>159</v>
      </c>
      <c r="P298" s="5" t="s">
        <v>12</v>
      </c>
      <c r="Q298" s="5" t="s">
        <v>158</v>
      </c>
      <c r="R298" s="2"/>
      <c r="S298" s="5" t="s">
        <v>126</v>
      </c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 spans="2:33" hidden="1" x14ac:dyDescent="0.35">
      <c r="B299" s="5" t="s">
        <v>21</v>
      </c>
      <c r="C299" s="1">
        <v>228</v>
      </c>
      <c r="D299" s="5" t="s">
        <v>88</v>
      </c>
      <c r="E299" s="5" t="s">
        <v>71</v>
      </c>
      <c r="F299" s="6">
        <v>44.93</v>
      </c>
      <c r="G299" s="1">
        <v>44.87</v>
      </c>
      <c r="H299" s="2">
        <v>46114</v>
      </c>
      <c r="I299" s="15">
        <f ca="1">TODAY()-Base_Relatório[[#This Row],[Plantio]]</f>
        <v>125</v>
      </c>
      <c r="K299" s="14">
        <v>46234</v>
      </c>
      <c r="L299" s="14" t="s">
        <v>190</v>
      </c>
      <c r="M299" s="3"/>
      <c r="N299" s="4"/>
      <c r="O299" s="5" t="s">
        <v>21</v>
      </c>
      <c r="P299" s="5" t="s">
        <v>21</v>
      </c>
      <c r="Q299" s="5" t="s">
        <v>21</v>
      </c>
      <c r="R299" s="2"/>
      <c r="S299" s="5" t="s">
        <v>126</v>
      </c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 spans="2:33" hidden="1" x14ac:dyDescent="0.35">
      <c r="B300" s="5" t="s">
        <v>21</v>
      </c>
      <c r="C300" s="1">
        <v>228</v>
      </c>
      <c r="D300" s="5" t="s">
        <v>88</v>
      </c>
      <c r="E300" s="5" t="s">
        <v>75</v>
      </c>
      <c r="F300" s="6">
        <v>51.5</v>
      </c>
      <c r="G300" s="1">
        <v>51.59</v>
      </c>
      <c r="H300" s="2">
        <v>46100</v>
      </c>
      <c r="I300" s="15">
        <f ca="1">TODAY()-Base_Relatório[[#This Row],[Plantio]]</f>
        <v>139</v>
      </c>
      <c r="K300" s="14">
        <v>46220</v>
      </c>
      <c r="L300" s="14" t="s">
        <v>190</v>
      </c>
      <c r="M300" s="3">
        <v>1081.9444444444443</v>
      </c>
      <c r="N300" s="4">
        <v>0.31970532541293911</v>
      </c>
      <c r="O300" s="5" t="s">
        <v>161</v>
      </c>
      <c r="P300" s="5" t="s">
        <v>12</v>
      </c>
      <c r="Q300" s="5" t="s">
        <v>158</v>
      </c>
      <c r="R300" s="2"/>
      <c r="S300" s="5" t="s">
        <v>126</v>
      </c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 spans="2:33" hidden="1" x14ac:dyDescent="0.35">
      <c r="B301" s="5" t="s">
        <v>21</v>
      </c>
      <c r="C301" s="1">
        <v>228</v>
      </c>
      <c r="D301" s="5" t="s">
        <v>88</v>
      </c>
      <c r="E301" s="5" t="s">
        <v>76</v>
      </c>
      <c r="F301" s="6">
        <v>74.040000000000006</v>
      </c>
      <c r="H301" s="2">
        <v>46162</v>
      </c>
      <c r="I301" s="15">
        <f ca="1">TODAY()-Base_Relatório[[#This Row],[Plantio]]</f>
        <v>77</v>
      </c>
      <c r="K301" s="14">
        <v>46282</v>
      </c>
      <c r="L301" s="14" t="s">
        <v>189</v>
      </c>
      <c r="M301" s="3"/>
      <c r="N301" s="4"/>
      <c r="O301" s="5" t="s">
        <v>21</v>
      </c>
      <c r="P301" s="5" t="s">
        <v>21</v>
      </c>
      <c r="Q301" s="5" t="s">
        <v>21</v>
      </c>
      <c r="R301" s="2"/>
      <c r="S301" s="5" t="s">
        <v>126</v>
      </c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 spans="2:33" hidden="1" x14ac:dyDescent="0.35">
      <c r="B302" s="5" t="s">
        <v>21</v>
      </c>
      <c r="C302" s="1">
        <v>228</v>
      </c>
      <c r="D302" s="5" t="s">
        <v>88</v>
      </c>
      <c r="E302" s="5" t="s">
        <v>77</v>
      </c>
      <c r="F302" s="6">
        <v>32.46</v>
      </c>
      <c r="H302" s="2">
        <v>46162</v>
      </c>
      <c r="I302" s="15">
        <f ca="1">TODAY()-Base_Relatório[[#This Row],[Plantio]]</f>
        <v>77</v>
      </c>
      <c r="K302" s="14">
        <v>46282</v>
      </c>
      <c r="L302" s="14" t="s">
        <v>189</v>
      </c>
      <c r="M302" s="3"/>
      <c r="N302" s="4"/>
      <c r="O302" s="5" t="s">
        <v>21</v>
      </c>
      <c r="P302" s="5" t="s">
        <v>21</v>
      </c>
      <c r="Q302" s="5" t="s">
        <v>21</v>
      </c>
      <c r="R302" s="2"/>
      <c r="S302" s="5" t="s">
        <v>126</v>
      </c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 spans="2:33" hidden="1" x14ac:dyDescent="0.35">
      <c r="B303" s="5" t="s">
        <v>21</v>
      </c>
      <c r="C303" s="1">
        <v>228</v>
      </c>
      <c r="D303" s="5" t="s">
        <v>88</v>
      </c>
      <c r="E303" s="5" t="s">
        <v>141</v>
      </c>
      <c r="F303" s="6">
        <v>48.09</v>
      </c>
      <c r="H303" s="2">
        <v>46133</v>
      </c>
      <c r="I303" s="15">
        <f ca="1">TODAY()-Base_Relatório[[#This Row],[Plantio]]</f>
        <v>106</v>
      </c>
      <c r="K303" s="14">
        <v>46253</v>
      </c>
      <c r="L303" s="14" t="s">
        <v>189</v>
      </c>
      <c r="M303" s="3"/>
      <c r="N303" s="4"/>
      <c r="O303" s="5" t="s">
        <v>21</v>
      </c>
      <c r="P303" s="5" t="s">
        <v>21</v>
      </c>
      <c r="Q303" s="5" t="s">
        <v>21</v>
      </c>
      <c r="R303" s="2"/>
      <c r="S303" s="5" t="s">
        <v>126</v>
      </c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 spans="2:33" hidden="1" x14ac:dyDescent="0.35">
      <c r="B304" s="5" t="s">
        <v>21</v>
      </c>
      <c r="C304" s="1">
        <v>228</v>
      </c>
      <c r="D304" s="5" t="s">
        <v>88</v>
      </c>
      <c r="E304" s="5" t="s">
        <v>142</v>
      </c>
      <c r="F304" s="6">
        <v>24.02</v>
      </c>
      <c r="H304" s="2">
        <v>46139</v>
      </c>
      <c r="I304" s="15">
        <f ca="1">TODAY()-Base_Relatório[[#This Row],[Plantio]]</f>
        <v>100</v>
      </c>
      <c r="K304" s="14">
        <v>46259</v>
      </c>
      <c r="L304" s="14" t="s">
        <v>189</v>
      </c>
      <c r="M304" s="3"/>
      <c r="N304" s="4"/>
      <c r="O304" s="5" t="s">
        <v>21</v>
      </c>
      <c r="P304" s="5" t="s">
        <v>21</v>
      </c>
      <c r="Q304" s="5" t="s">
        <v>21</v>
      </c>
      <c r="R304" s="2"/>
      <c r="S304" s="5" t="s">
        <v>126</v>
      </c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 spans="2:33" hidden="1" x14ac:dyDescent="0.35">
      <c r="B305" s="5" t="s">
        <v>21</v>
      </c>
      <c r="C305" s="1">
        <v>228</v>
      </c>
      <c r="D305" s="5" t="s">
        <v>88</v>
      </c>
      <c r="E305" s="5" t="s">
        <v>143</v>
      </c>
      <c r="F305" s="6">
        <v>23.49</v>
      </c>
      <c r="H305" s="2">
        <v>46149</v>
      </c>
      <c r="I305" s="15">
        <f ca="1">TODAY()-Base_Relatório[[#This Row],[Plantio]]</f>
        <v>90</v>
      </c>
      <c r="K305" s="14">
        <v>46269</v>
      </c>
      <c r="L305" s="14" t="s">
        <v>189</v>
      </c>
      <c r="M305" s="3"/>
      <c r="N305" s="4"/>
      <c r="O305" s="5" t="s">
        <v>21</v>
      </c>
      <c r="P305" s="5" t="s">
        <v>21</v>
      </c>
      <c r="Q305" s="5" t="s">
        <v>21</v>
      </c>
      <c r="R305" s="2"/>
      <c r="S305" s="5" t="s">
        <v>126</v>
      </c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 spans="2:33" hidden="1" x14ac:dyDescent="0.35">
      <c r="B306" s="5" t="s">
        <v>21</v>
      </c>
      <c r="C306" s="1">
        <v>228</v>
      </c>
      <c r="D306" s="5" t="s">
        <v>88</v>
      </c>
      <c r="E306" s="5" t="s">
        <v>144</v>
      </c>
      <c r="F306" s="6">
        <v>59.22</v>
      </c>
      <c r="H306" s="2">
        <v>46156</v>
      </c>
      <c r="I306" s="15">
        <f ca="1">TODAY()-Base_Relatório[[#This Row],[Plantio]]</f>
        <v>83</v>
      </c>
      <c r="K306" s="14">
        <v>46276</v>
      </c>
      <c r="L306" s="14" t="s">
        <v>189</v>
      </c>
      <c r="M306" s="3"/>
      <c r="N306" s="4"/>
      <c r="O306" s="5" t="s">
        <v>21</v>
      </c>
      <c r="P306" s="5" t="s">
        <v>21</v>
      </c>
      <c r="Q306" s="5" t="s">
        <v>21</v>
      </c>
      <c r="R306" s="2"/>
      <c r="S306" s="5" t="s">
        <v>126</v>
      </c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 spans="2:33" hidden="1" x14ac:dyDescent="0.35">
      <c r="B307" s="5" t="s">
        <v>21</v>
      </c>
      <c r="C307" s="1">
        <v>228</v>
      </c>
      <c r="D307" s="5" t="s">
        <v>88</v>
      </c>
      <c r="E307" s="5" t="s">
        <v>145</v>
      </c>
      <c r="F307" s="6">
        <v>18.12</v>
      </c>
      <c r="H307" s="2">
        <v>46163</v>
      </c>
      <c r="I307" s="15">
        <f ca="1">TODAY()-Base_Relatório[[#This Row],[Plantio]]</f>
        <v>76</v>
      </c>
      <c r="K307" s="14">
        <v>46283</v>
      </c>
      <c r="L307" s="14" t="s">
        <v>189</v>
      </c>
      <c r="M307" s="3"/>
      <c r="N307" s="4"/>
      <c r="O307" s="5" t="s">
        <v>21</v>
      </c>
      <c r="P307" s="5" t="s">
        <v>21</v>
      </c>
      <c r="Q307" s="5" t="s">
        <v>21</v>
      </c>
      <c r="R307" s="2"/>
      <c r="S307" s="5" t="s">
        <v>126</v>
      </c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 spans="2:33" hidden="1" x14ac:dyDescent="0.35">
      <c r="B308" s="5" t="s">
        <v>21</v>
      </c>
      <c r="C308" s="1">
        <v>228</v>
      </c>
      <c r="D308" s="5" t="s">
        <v>88</v>
      </c>
      <c r="E308" s="5" t="s">
        <v>164</v>
      </c>
      <c r="F308" s="6">
        <v>47.64</v>
      </c>
      <c r="H308" s="2">
        <v>46129</v>
      </c>
      <c r="I308" s="15">
        <f ca="1">TODAY()-Base_Relatório[[#This Row],[Plantio]]</f>
        <v>110</v>
      </c>
      <c r="K308" s="14">
        <v>46249</v>
      </c>
      <c r="L308" s="14" t="s">
        <v>189</v>
      </c>
      <c r="M308" s="3"/>
      <c r="N308" s="4"/>
      <c r="O308" s="5" t="s">
        <v>21</v>
      </c>
      <c r="P308" s="5" t="s">
        <v>21</v>
      </c>
      <c r="Q308" s="5" t="s">
        <v>21</v>
      </c>
      <c r="R308" s="2"/>
      <c r="S308" s="5" t="s">
        <v>126</v>
      </c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 spans="2:33" hidden="1" x14ac:dyDescent="0.35">
      <c r="B309" s="5" t="s">
        <v>21</v>
      </c>
      <c r="C309" s="1">
        <v>228</v>
      </c>
      <c r="D309" s="5" t="s">
        <v>88</v>
      </c>
      <c r="E309" s="5" t="s">
        <v>165</v>
      </c>
      <c r="F309" s="6">
        <v>23.99</v>
      </c>
      <c r="H309" s="2">
        <v>46163</v>
      </c>
      <c r="I309" s="15">
        <f ca="1">TODAY()-Base_Relatório[[#This Row],[Plantio]]</f>
        <v>76</v>
      </c>
      <c r="K309" s="14">
        <v>46283</v>
      </c>
      <c r="L309" s="14" t="s">
        <v>189</v>
      </c>
      <c r="M309" s="3"/>
      <c r="N309" s="4"/>
      <c r="O309" s="5" t="s">
        <v>21</v>
      </c>
      <c r="P309" s="5" t="s">
        <v>21</v>
      </c>
      <c r="Q309" s="5" t="s">
        <v>21</v>
      </c>
      <c r="R309" s="2"/>
      <c r="S309" s="5" t="s">
        <v>126</v>
      </c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 spans="2:33" hidden="1" x14ac:dyDescent="0.35">
      <c r="B310" s="5" t="s">
        <v>21</v>
      </c>
      <c r="C310" s="1">
        <v>228</v>
      </c>
      <c r="D310" s="5" t="s">
        <v>88</v>
      </c>
      <c r="E310" s="5" t="s">
        <v>166</v>
      </c>
      <c r="F310" s="6">
        <v>52.67</v>
      </c>
      <c r="H310" s="2">
        <v>46170</v>
      </c>
      <c r="I310" s="15">
        <f ca="1">TODAY()-Base_Relatório[[#This Row],[Plantio]]</f>
        <v>69</v>
      </c>
      <c r="K310" s="14">
        <v>46290</v>
      </c>
      <c r="L310" s="14" t="s">
        <v>189</v>
      </c>
      <c r="M310" s="3"/>
      <c r="N310" s="4"/>
      <c r="O310" s="5" t="s">
        <v>21</v>
      </c>
      <c r="P310" s="5" t="s">
        <v>21</v>
      </c>
      <c r="Q310" s="5" t="s">
        <v>21</v>
      </c>
      <c r="R310" s="2"/>
      <c r="S310" s="5" t="s">
        <v>126</v>
      </c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 spans="2:33" hidden="1" x14ac:dyDescent="0.35">
      <c r="B311" s="5" t="s">
        <v>21</v>
      </c>
      <c r="C311" s="1">
        <v>228</v>
      </c>
      <c r="D311" s="5" t="s">
        <v>88</v>
      </c>
      <c r="E311" s="5" t="s">
        <v>167</v>
      </c>
      <c r="F311" s="6">
        <v>49.99</v>
      </c>
      <c r="H311" s="2">
        <v>46174</v>
      </c>
      <c r="I311" s="15">
        <f ca="1">TODAY()-Base_Relatório[[#This Row],[Plantio]]</f>
        <v>65</v>
      </c>
      <c r="K311" s="14">
        <v>46294</v>
      </c>
      <c r="L311" s="14" t="s">
        <v>189</v>
      </c>
      <c r="M311" s="3"/>
      <c r="N311" s="4"/>
      <c r="O311" s="5" t="s">
        <v>21</v>
      </c>
      <c r="P311" s="5" t="s">
        <v>21</v>
      </c>
      <c r="Q311" s="5" t="s">
        <v>21</v>
      </c>
      <c r="R311" s="2"/>
      <c r="S311" s="5" t="s">
        <v>126</v>
      </c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 spans="2:33" hidden="1" x14ac:dyDescent="0.35">
      <c r="B312" s="5" t="s">
        <v>21</v>
      </c>
      <c r="C312" s="1">
        <v>228</v>
      </c>
      <c r="D312" s="5" t="s">
        <v>88</v>
      </c>
      <c r="E312" s="5" t="s">
        <v>168</v>
      </c>
      <c r="F312" s="6">
        <v>26.72</v>
      </c>
      <c r="H312" s="2">
        <v>46188</v>
      </c>
      <c r="I312" s="15">
        <f ca="1">TODAY()-Base_Relatório[[#This Row],[Plantio]]</f>
        <v>51</v>
      </c>
      <c r="K312" s="14">
        <v>46308</v>
      </c>
      <c r="L312" s="14" t="s">
        <v>189</v>
      </c>
      <c r="M312" s="3"/>
      <c r="N312" s="4"/>
      <c r="O312" s="5" t="s">
        <v>21</v>
      </c>
      <c r="P312" s="5" t="s">
        <v>21</v>
      </c>
      <c r="Q312" s="5" t="s">
        <v>21</v>
      </c>
      <c r="R312" s="2"/>
      <c r="S312" s="5" t="s">
        <v>126</v>
      </c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 spans="2:33" x14ac:dyDescent="0.35">
      <c r="B313" s="5" t="s">
        <v>21</v>
      </c>
      <c r="C313" s="1">
        <v>266</v>
      </c>
      <c r="D313" s="5" t="s">
        <v>97</v>
      </c>
      <c r="E313" s="5" t="s">
        <v>17</v>
      </c>
      <c r="F313" s="6">
        <v>28.36</v>
      </c>
      <c r="H313" s="2">
        <v>46129</v>
      </c>
      <c r="I313" s="15">
        <f ca="1">TODAY()-Base_Relatório[[#This Row],[Plantio]]</f>
        <v>110</v>
      </c>
      <c r="K313" s="14">
        <v>46249</v>
      </c>
      <c r="L313" s="14" t="s">
        <v>189</v>
      </c>
      <c r="M313" s="3"/>
      <c r="N313" s="4"/>
      <c r="O313" s="5" t="s">
        <v>21</v>
      </c>
      <c r="P313" s="5" t="s">
        <v>21</v>
      </c>
      <c r="Q313" s="5" t="s">
        <v>21</v>
      </c>
      <c r="R313" s="2"/>
      <c r="S313" s="5" t="s">
        <v>127</v>
      </c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 spans="2:33" x14ac:dyDescent="0.35">
      <c r="B314" s="5" t="s">
        <v>21</v>
      </c>
      <c r="C314" s="1">
        <v>266</v>
      </c>
      <c r="D314" s="5" t="s">
        <v>97</v>
      </c>
      <c r="E314" s="5" t="s">
        <v>54</v>
      </c>
      <c r="F314" s="6">
        <v>27.52</v>
      </c>
      <c r="H314" s="2">
        <v>46126</v>
      </c>
      <c r="I314" s="15">
        <f ca="1">TODAY()-Base_Relatório[[#This Row],[Plantio]]</f>
        <v>113</v>
      </c>
      <c r="K314" s="14">
        <v>46246</v>
      </c>
      <c r="L314" s="14" t="s">
        <v>189</v>
      </c>
      <c r="M314" s="3"/>
      <c r="N314" s="4"/>
      <c r="O314" s="5" t="s">
        <v>21</v>
      </c>
      <c r="P314" s="5" t="s">
        <v>21</v>
      </c>
      <c r="Q314" s="5" t="s">
        <v>21</v>
      </c>
      <c r="R314" s="2"/>
      <c r="S314" s="5" t="s">
        <v>127</v>
      </c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 spans="2:33" x14ac:dyDescent="0.35">
      <c r="B315" s="5" t="s">
        <v>21</v>
      </c>
      <c r="C315" s="1">
        <v>266</v>
      </c>
      <c r="D315" s="5" t="s">
        <v>97</v>
      </c>
      <c r="E315" s="5" t="s">
        <v>13</v>
      </c>
      <c r="F315" s="6">
        <v>31.11</v>
      </c>
      <c r="H315" s="2">
        <v>46128</v>
      </c>
      <c r="I315" s="15">
        <f ca="1">TODAY()-Base_Relatório[[#This Row],[Plantio]]</f>
        <v>111</v>
      </c>
      <c r="K315" s="14">
        <v>46248</v>
      </c>
      <c r="L315" s="14" t="s">
        <v>189</v>
      </c>
      <c r="M315" s="3"/>
      <c r="N315" s="4"/>
      <c r="O315" s="5" t="s">
        <v>21</v>
      </c>
      <c r="P315" s="5" t="s">
        <v>21</v>
      </c>
      <c r="Q315" s="5" t="s">
        <v>21</v>
      </c>
      <c r="R315" s="2"/>
      <c r="S315" s="5" t="s">
        <v>127</v>
      </c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 spans="2:33" x14ac:dyDescent="0.35">
      <c r="B316" s="5" t="s">
        <v>21</v>
      </c>
      <c r="C316" s="1">
        <v>266</v>
      </c>
      <c r="D316" s="5" t="s">
        <v>97</v>
      </c>
      <c r="E316" s="5" t="s">
        <v>55</v>
      </c>
      <c r="F316" s="6">
        <v>26.19</v>
      </c>
      <c r="H316" s="2">
        <v>46130</v>
      </c>
      <c r="I316" s="15">
        <f ca="1">TODAY()-Base_Relatório[[#This Row],[Plantio]]</f>
        <v>109</v>
      </c>
      <c r="K316" s="14">
        <v>46250</v>
      </c>
      <c r="L316" s="14" t="s">
        <v>189</v>
      </c>
      <c r="M316" s="3"/>
      <c r="N316" s="4"/>
      <c r="O316" s="5" t="s">
        <v>21</v>
      </c>
      <c r="P316" s="5" t="s">
        <v>21</v>
      </c>
      <c r="Q316" s="5" t="s">
        <v>21</v>
      </c>
      <c r="R316" s="2"/>
      <c r="S316" s="5" t="s">
        <v>127</v>
      </c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 spans="2:33" x14ac:dyDescent="0.35">
      <c r="B317" s="5" t="s">
        <v>21</v>
      </c>
      <c r="C317" s="1">
        <v>266</v>
      </c>
      <c r="D317" s="5" t="s">
        <v>97</v>
      </c>
      <c r="E317" s="5" t="s">
        <v>46</v>
      </c>
      <c r="F317" s="6">
        <v>31.42</v>
      </c>
      <c r="H317" s="2">
        <v>46133</v>
      </c>
      <c r="I317" s="15">
        <f ca="1">TODAY()-Base_Relatório[[#This Row],[Plantio]]</f>
        <v>106</v>
      </c>
      <c r="K317" s="14">
        <v>46253</v>
      </c>
      <c r="L317" s="14" t="s">
        <v>189</v>
      </c>
      <c r="M317" s="3"/>
      <c r="N317" s="4"/>
      <c r="O317" s="5" t="s">
        <v>21</v>
      </c>
      <c r="P317" s="5" t="s">
        <v>21</v>
      </c>
      <c r="Q317" s="5" t="s">
        <v>21</v>
      </c>
      <c r="R317" s="2"/>
      <c r="S317" s="5" t="s">
        <v>127</v>
      </c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 spans="2:33" x14ac:dyDescent="0.35">
      <c r="B318" s="5" t="s">
        <v>21</v>
      </c>
      <c r="C318" s="1">
        <v>266</v>
      </c>
      <c r="D318" s="5" t="s">
        <v>97</v>
      </c>
      <c r="E318" s="5" t="s">
        <v>56</v>
      </c>
      <c r="F318" s="6">
        <v>11.06</v>
      </c>
      <c r="H318" s="2">
        <v>46130</v>
      </c>
      <c r="I318" s="15">
        <f ca="1">TODAY()-Base_Relatório[[#This Row],[Plantio]]</f>
        <v>109</v>
      </c>
      <c r="K318" s="14">
        <v>46250</v>
      </c>
      <c r="L318" s="14" t="s">
        <v>189</v>
      </c>
      <c r="M318" s="3"/>
      <c r="N318" s="4"/>
      <c r="O318" s="5" t="s">
        <v>21</v>
      </c>
      <c r="P318" s="5" t="s">
        <v>21</v>
      </c>
      <c r="Q318" s="5" t="s">
        <v>21</v>
      </c>
      <c r="R318" s="2"/>
      <c r="S318" s="5" t="s">
        <v>127</v>
      </c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 spans="2:33" x14ac:dyDescent="0.35">
      <c r="B319" s="5" t="s">
        <v>21</v>
      </c>
      <c r="C319" s="1">
        <v>266</v>
      </c>
      <c r="D319" s="5" t="s">
        <v>97</v>
      </c>
      <c r="E319" s="5" t="s">
        <v>27</v>
      </c>
      <c r="F319" s="6">
        <v>21.58</v>
      </c>
      <c r="H319" s="2">
        <v>46136</v>
      </c>
      <c r="I319" s="15">
        <f ca="1">TODAY()-Base_Relatório[[#This Row],[Plantio]]</f>
        <v>103</v>
      </c>
      <c r="K319" s="14">
        <v>46256</v>
      </c>
      <c r="L319" s="14" t="s">
        <v>189</v>
      </c>
      <c r="M319" s="3"/>
      <c r="N319" s="4"/>
      <c r="O319" s="5" t="s">
        <v>21</v>
      </c>
      <c r="P319" s="5" t="s">
        <v>21</v>
      </c>
      <c r="Q319" s="5" t="s">
        <v>21</v>
      </c>
      <c r="R319" s="2"/>
      <c r="S319" s="5" t="s">
        <v>127</v>
      </c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 spans="2:33" x14ac:dyDescent="0.35">
      <c r="B320" s="5" t="s">
        <v>21</v>
      </c>
      <c r="C320" s="1">
        <v>266</v>
      </c>
      <c r="D320" s="5" t="s">
        <v>97</v>
      </c>
      <c r="E320" s="5" t="s">
        <v>28</v>
      </c>
      <c r="F320" s="6">
        <v>22.87</v>
      </c>
      <c r="H320" s="2">
        <v>46142</v>
      </c>
      <c r="I320" s="15">
        <f ca="1">TODAY()-Base_Relatório[[#This Row],[Plantio]]</f>
        <v>97</v>
      </c>
      <c r="K320" s="14">
        <v>46262</v>
      </c>
      <c r="L320" s="14" t="s">
        <v>189</v>
      </c>
      <c r="M320" s="3"/>
      <c r="N320" s="4"/>
      <c r="O320" s="5" t="s">
        <v>21</v>
      </c>
      <c r="P320" s="5" t="s">
        <v>21</v>
      </c>
      <c r="Q320" s="5" t="s">
        <v>21</v>
      </c>
      <c r="R320" s="2"/>
      <c r="S320" s="5" t="s">
        <v>127</v>
      </c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 spans="2:33" hidden="1" x14ac:dyDescent="0.35">
      <c r="B321" s="5" t="s">
        <v>21</v>
      </c>
      <c r="C321" s="1">
        <v>295</v>
      </c>
      <c r="D321" s="5" t="s">
        <v>98</v>
      </c>
      <c r="E321" s="5" t="s">
        <v>17</v>
      </c>
      <c r="F321" s="6">
        <v>70.11</v>
      </c>
      <c r="G321" s="1">
        <v>13.9</v>
      </c>
      <c r="H321" s="2">
        <v>46050</v>
      </c>
      <c r="I321" s="15">
        <f ca="1">TODAY()-Base_Relatório[[#This Row],[Plantio]]</f>
        <v>189</v>
      </c>
      <c r="K321" s="14">
        <v>46170</v>
      </c>
      <c r="L321" s="14" t="s">
        <v>190</v>
      </c>
      <c r="M321" s="3">
        <v>1062.5</v>
      </c>
      <c r="N321" s="4">
        <v>0.22806609242701226</v>
      </c>
      <c r="O321" s="5" t="s">
        <v>157</v>
      </c>
      <c r="P321" s="5" t="s">
        <v>12</v>
      </c>
      <c r="Q321" s="5" t="s">
        <v>158</v>
      </c>
      <c r="R321" s="2"/>
      <c r="S321" s="5" t="s">
        <v>126</v>
      </c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 spans="2:33" hidden="1" x14ac:dyDescent="0.35">
      <c r="B322" s="5" t="s">
        <v>21</v>
      </c>
      <c r="C322" s="1">
        <v>295</v>
      </c>
      <c r="D322" s="5" t="s">
        <v>98</v>
      </c>
      <c r="E322" s="5" t="s">
        <v>20</v>
      </c>
      <c r="F322" s="6">
        <v>46.37</v>
      </c>
      <c r="G322" s="1">
        <v>42.96</v>
      </c>
      <c r="H322" s="2">
        <v>46036</v>
      </c>
      <c r="I322" s="15">
        <f ca="1">TODAY()-Base_Relatório[[#This Row],[Plantio]]</f>
        <v>203</v>
      </c>
      <c r="K322" s="14">
        <v>46156</v>
      </c>
      <c r="L322" s="14" t="s">
        <v>190</v>
      </c>
      <c r="M322" s="3">
        <v>1021.875</v>
      </c>
      <c r="N322" s="4">
        <v>0.1981180807839463</v>
      </c>
      <c r="O322" s="5" t="s">
        <v>156</v>
      </c>
      <c r="P322" s="5" t="s">
        <v>12</v>
      </c>
      <c r="Q322" s="5" t="s">
        <v>15</v>
      </c>
      <c r="R322" s="2"/>
      <c r="S322" s="5" t="s">
        <v>126</v>
      </c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 spans="2:33" hidden="1" x14ac:dyDescent="0.35">
      <c r="B323" s="5" t="s">
        <v>21</v>
      </c>
      <c r="C323" s="1">
        <v>295</v>
      </c>
      <c r="D323" s="5" t="s">
        <v>98</v>
      </c>
      <c r="E323" s="5" t="s">
        <v>22</v>
      </c>
      <c r="F323" s="6">
        <v>46.64</v>
      </c>
      <c r="G323" s="1">
        <v>45.75</v>
      </c>
      <c r="H323" s="2">
        <v>46038</v>
      </c>
      <c r="I323" s="15">
        <f ca="1">TODAY()-Base_Relatório[[#This Row],[Plantio]]</f>
        <v>201</v>
      </c>
      <c r="K323" s="14">
        <v>46158</v>
      </c>
      <c r="L323" s="14" t="s">
        <v>190</v>
      </c>
      <c r="M323" s="3">
        <v>995.3125</v>
      </c>
      <c r="N323" s="4">
        <v>0.19621410569322681</v>
      </c>
      <c r="O323" s="5" t="s">
        <v>156</v>
      </c>
      <c r="P323" s="5" t="s">
        <v>12</v>
      </c>
      <c r="Q323" s="5" t="s">
        <v>15</v>
      </c>
      <c r="R323" s="2"/>
      <c r="S323" s="5" t="s">
        <v>126</v>
      </c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 spans="2:33" hidden="1" x14ac:dyDescent="0.35">
      <c r="B324" s="5" t="s">
        <v>21</v>
      </c>
      <c r="C324" s="1">
        <v>295</v>
      </c>
      <c r="D324" s="5" t="s">
        <v>98</v>
      </c>
      <c r="E324" s="5" t="s">
        <v>23</v>
      </c>
      <c r="F324" s="6">
        <v>44.06</v>
      </c>
      <c r="G324" s="1">
        <v>43.7</v>
      </c>
      <c r="H324" s="2">
        <v>46084</v>
      </c>
      <c r="I324" s="15">
        <f ca="1">TODAY()-Base_Relatório[[#This Row],[Plantio]]</f>
        <v>155</v>
      </c>
      <c r="K324" s="14">
        <v>46204</v>
      </c>
      <c r="L324" s="14" t="s">
        <v>190</v>
      </c>
      <c r="M324" s="3">
        <v>1029.6875</v>
      </c>
      <c r="N324" s="4">
        <v>0.29733165771096604</v>
      </c>
      <c r="O324" s="5" t="s">
        <v>159</v>
      </c>
      <c r="P324" s="5" t="s">
        <v>12</v>
      </c>
      <c r="Q324" s="5" t="s">
        <v>158</v>
      </c>
      <c r="R324" s="2"/>
      <c r="S324" s="5" t="s">
        <v>126</v>
      </c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 spans="2:33" hidden="1" x14ac:dyDescent="0.35">
      <c r="B325" s="5" t="s">
        <v>21</v>
      </c>
      <c r="C325" s="1">
        <v>295</v>
      </c>
      <c r="D325" s="5" t="s">
        <v>98</v>
      </c>
      <c r="E325" s="5" t="s">
        <v>24</v>
      </c>
      <c r="F325" s="6">
        <v>31.46</v>
      </c>
      <c r="G325" s="1">
        <v>30.42</v>
      </c>
      <c r="H325" s="2">
        <v>46056</v>
      </c>
      <c r="I325" s="15">
        <f ca="1">TODAY()-Base_Relatório[[#This Row],[Plantio]]</f>
        <v>183</v>
      </c>
      <c r="K325" s="14">
        <v>46176</v>
      </c>
      <c r="L325" s="14" t="s">
        <v>190</v>
      </c>
      <c r="M325" s="3">
        <v>1009.0909090909091</v>
      </c>
      <c r="N325" s="4">
        <v>0.18434681247353812</v>
      </c>
      <c r="O325" s="5" t="s">
        <v>156</v>
      </c>
      <c r="P325" s="5" t="s">
        <v>12</v>
      </c>
      <c r="Q325" s="5" t="s">
        <v>15</v>
      </c>
      <c r="R325" s="2"/>
      <c r="S325" s="5" t="s">
        <v>126</v>
      </c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 spans="2:33" hidden="1" x14ac:dyDescent="0.35">
      <c r="B326" s="5" t="s">
        <v>21</v>
      </c>
      <c r="C326" s="1">
        <v>295</v>
      </c>
      <c r="D326" s="5" t="s">
        <v>98</v>
      </c>
      <c r="E326" s="5" t="s">
        <v>31</v>
      </c>
      <c r="F326" s="6">
        <v>44.3</v>
      </c>
      <c r="G326" s="1">
        <v>44.06</v>
      </c>
      <c r="H326" s="2">
        <v>46012</v>
      </c>
      <c r="I326" s="15">
        <f ca="1">TODAY()-Base_Relatório[[#This Row],[Plantio]]</f>
        <v>227</v>
      </c>
      <c r="K326" s="14">
        <v>46132</v>
      </c>
      <c r="L326" s="14" t="s">
        <v>190</v>
      </c>
      <c r="M326" s="3">
        <v>1033.3333333333333</v>
      </c>
      <c r="N326" s="4">
        <v>0.18484589410894051</v>
      </c>
      <c r="O326" s="5" t="s">
        <v>156</v>
      </c>
      <c r="P326" s="5" t="s">
        <v>12</v>
      </c>
      <c r="Q326" s="5" t="s">
        <v>15</v>
      </c>
      <c r="R326" s="2"/>
      <c r="S326" s="5" t="s">
        <v>126</v>
      </c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 spans="2:33" hidden="1" x14ac:dyDescent="0.35">
      <c r="B327" s="5" t="s">
        <v>21</v>
      </c>
      <c r="C327" s="1">
        <v>295</v>
      </c>
      <c r="D327" s="5" t="s">
        <v>98</v>
      </c>
      <c r="E327" s="5" t="s">
        <v>26</v>
      </c>
      <c r="F327" s="6">
        <v>29.59</v>
      </c>
      <c r="G327" s="1">
        <v>26.9</v>
      </c>
      <c r="H327" s="2">
        <v>46027</v>
      </c>
      <c r="I327" s="15">
        <f ca="1">TODAY()-Base_Relatório[[#This Row],[Plantio]]</f>
        <v>212</v>
      </c>
      <c r="K327" s="14">
        <v>46147</v>
      </c>
      <c r="L327" s="14" t="s">
        <v>190</v>
      </c>
      <c r="M327" s="3">
        <v>1072.5</v>
      </c>
      <c r="N327" s="4">
        <v>0.16361321184289679</v>
      </c>
      <c r="O327" s="5" t="s">
        <v>156</v>
      </c>
      <c r="P327" s="5" t="s">
        <v>12</v>
      </c>
      <c r="Q327" s="5" t="s">
        <v>15</v>
      </c>
      <c r="R327" s="2"/>
      <c r="S327" s="5" t="s">
        <v>126</v>
      </c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 spans="2:33" hidden="1" x14ac:dyDescent="0.35">
      <c r="B328" s="5" t="s">
        <v>21</v>
      </c>
      <c r="C328" s="1">
        <v>295</v>
      </c>
      <c r="D328" s="5" t="s">
        <v>98</v>
      </c>
      <c r="E328" s="5" t="s">
        <v>49</v>
      </c>
      <c r="F328" s="6">
        <v>36.58</v>
      </c>
      <c r="G328" s="1">
        <v>31.85</v>
      </c>
      <c r="H328" s="2">
        <v>46028</v>
      </c>
      <c r="I328" s="15">
        <f ca="1">TODAY()-Base_Relatório[[#This Row],[Plantio]]</f>
        <v>211</v>
      </c>
      <c r="K328" s="14">
        <v>46148</v>
      </c>
      <c r="L328" s="14" t="s">
        <v>190</v>
      </c>
      <c r="M328" s="3">
        <v>1063.4615384615386</v>
      </c>
      <c r="N328" s="4">
        <v>0.12571329837191197</v>
      </c>
      <c r="O328" s="5" t="s">
        <v>160</v>
      </c>
      <c r="P328" s="5" t="s">
        <v>12</v>
      </c>
      <c r="Q328" s="5" t="s">
        <v>15</v>
      </c>
      <c r="R328" s="2"/>
      <c r="S328" s="5" t="s">
        <v>126</v>
      </c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 spans="2:33" hidden="1" x14ac:dyDescent="0.35">
      <c r="B329" s="5" t="s">
        <v>21</v>
      </c>
      <c r="C329" s="1">
        <v>295</v>
      </c>
      <c r="D329" s="5" t="s">
        <v>98</v>
      </c>
      <c r="E329" s="5" t="s">
        <v>52</v>
      </c>
      <c r="F329" s="6">
        <v>39.72</v>
      </c>
      <c r="G329" s="1">
        <v>35.71</v>
      </c>
      <c r="H329" s="2">
        <v>46036</v>
      </c>
      <c r="I329" s="15">
        <f ca="1">TODAY()-Base_Relatório[[#This Row],[Plantio]]</f>
        <v>203</v>
      </c>
      <c r="K329" s="14">
        <v>46156</v>
      </c>
      <c r="L329" s="14" t="s">
        <v>190</v>
      </c>
      <c r="M329" s="3">
        <v>1026.7857142857142</v>
      </c>
      <c r="N329" s="4">
        <v>0.1661116641655313</v>
      </c>
      <c r="O329" s="5" t="s">
        <v>156</v>
      </c>
      <c r="P329" s="5" t="s">
        <v>12</v>
      </c>
      <c r="Q329" s="5" t="s">
        <v>15</v>
      </c>
      <c r="R329" s="2"/>
      <c r="S329" s="5" t="s">
        <v>126</v>
      </c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 spans="2:33" hidden="1" x14ac:dyDescent="0.35">
      <c r="B330" s="5" t="s">
        <v>21</v>
      </c>
      <c r="C330" s="1">
        <v>295</v>
      </c>
      <c r="D330" s="5" t="s">
        <v>98</v>
      </c>
      <c r="E330" s="5" t="s">
        <v>54</v>
      </c>
      <c r="F330" s="6">
        <v>46.58</v>
      </c>
      <c r="G330" s="1">
        <v>44.71</v>
      </c>
      <c r="H330" s="2">
        <v>46052</v>
      </c>
      <c r="I330" s="15">
        <f ca="1">TODAY()-Base_Relatório[[#This Row],[Plantio]]</f>
        <v>187</v>
      </c>
      <c r="K330" s="14">
        <v>46172</v>
      </c>
      <c r="L330" s="14" t="s">
        <v>190</v>
      </c>
      <c r="M330" s="3">
        <v>1030.8823529411766</v>
      </c>
      <c r="N330" s="4">
        <v>0.18258367057270786</v>
      </c>
      <c r="O330" s="5" t="s">
        <v>156</v>
      </c>
      <c r="P330" s="5" t="s">
        <v>12</v>
      </c>
      <c r="Q330" s="5" t="s">
        <v>15</v>
      </c>
      <c r="R330" s="2"/>
      <c r="S330" s="5" t="s">
        <v>126</v>
      </c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 spans="2:33" hidden="1" x14ac:dyDescent="0.35">
      <c r="B331" s="5" t="s">
        <v>21</v>
      </c>
      <c r="C331" s="1">
        <v>295</v>
      </c>
      <c r="D331" s="5" t="s">
        <v>98</v>
      </c>
      <c r="E331" s="5" t="s">
        <v>57</v>
      </c>
      <c r="F331" s="6">
        <v>44.1</v>
      </c>
      <c r="G331" s="1">
        <v>12.83</v>
      </c>
      <c r="H331" s="2">
        <v>46064</v>
      </c>
      <c r="I331" s="15">
        <f ca="1">TODAY()-Base_Relatório[[#This Row],[Plantio]]</f>
        <v>175</v>
      </c>
      <c r="K331" s="14">
        <v>46184</v>
      </c>
      <c r="L331" s="14" t="s">
        <v>190</v>
      </c>
      <c r="M331" s="3">
        <v>993.18181818181813</v>
      </c>
      <c r="N331" s="4">
        <v>0.23907918096594022</v>
      </c>
      <c r="O331" s="5" t="s">
        <v>157</v>
      </c>
      <c r="P331" s="5" t="s">
        <v>12</v>
      </c>
      <c r="Q331" s="5" t="s">
        <v>158</v>
      </c>
      <c r="R331" s="2"/>
      <c r="S331" s="5" t="s">
        <v>126</v>
      </c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 spans="2:33" hidden="1" x14ac:dyDescent="0.35">
      <c r="B332" s="5" t="s">
        <v>21</v>
      </c>
      <c r="C332" s="1">
        <v>295</v>
      </c>
      <c r="D332" s="5" t="s">
        <v>98</v>
      </c>
      <c r="E332" s="5" t="s">
        <v>84</v>
      </c>
      <c r="F332" s="6">
        <v>39.5</v>
      </c>
      <c r="G332" s="1">
        <v>37.19</v>
      </c>
      <c r="H332" s="2">
        <v>46031</v>
      </c>
      <c r="I332" s="15">
        <f ca="1">TODAY()-Base_Relatório[[#This Row],[Plantio]]</f>
        <v>208</v>
      </c>
      <c r="K332" s="14">
        <v>46151</v>
      </c>
      <c r="L332" s="14" t="s">
        <v>190</v>
      </c>
      <c r="M332" s="3">
        <v>1064.5833333333333</v>
      </c>
      <c r="N332" s="4">
        <v>0.17533212330104056</v>
      </c>
      <c r="O332" s="5" t="s">
        <v>156</v>
      </c>
      <c r="P332" s="5" t="s">
        <v>12</v>
      </c>
      <c r="Q332" s="5" t="s">
        <v>15</v>
      </c>
      <c r="R332" s="2"/>
      <c r="S332" s="5" t="s">
        <v>126</v>
      </c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 spans="2:33" hidden="1" x14ac:dyDescent="0.35">
      <c r="B333" s="5" t="s">
        <v>21</v>
      </c>
      <c r="C333" s="1">
        <v>295</v>
      </c>
      <c r="D333" s="5" t="s">
        <v>98</v>
      </c>
      <c r="E333" s="5" t="s">
        <v>85</v>
      </c>
      <c r="F333" s="6">
        <v>34.31</v>
      </c>
      <c r="G333" s="1">
        <v>32.380000000000003</v>
      </c>
      <c r="H333" s="2">
        <v>46038</v>
      </c>
      <c r="I333" s="15">
        <f ca="1">TODAY()-Base_Relatório[[#This Row],[Plantio]]</f>
        <v>201</v>
      </c>
      <c r="K333" s="14">
        <v>46158</v>
      </c>
      <c r="L333" s="14" t="s">
        <v>190</v>
      </c>
      <c r="M333" s="3">
        <v>997.91666666666663</v>
      </c>
      <c r="N333" s="4">
        <v>0.25213050559707006</v>
      </c>
      <c r="O333" s="5" t="s">
        <v>159</v>
      </c>
      <c r="P333" s="5" t="s">
        <v>12</v>
      </c>
      <c r="Q333" s="5" t="s">
        <v>158</v>
      </c>
      <c r="R333" s="2"/>
      <c r="S333" s="5" t="s">
        <v>126</v>
      </c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 spans="2:33" hidden="1" x14ac:dyDescent="0.35">
      <c r="B334" s="5" t="s">
        <v>21</v>
      </c>
      <c r="C334" s="1">
        <v>295</v>
      </c>
      <c r="D334" s="5" t="s">
        <v>98</v>
      </c>
      <c r="E334" s="5" t="s">
        <v>34</v>
      </c>
      <c r="F334" s="6">
        <v>44.96</v>
      </c>
      <c r="G334" s="1">
        <v>41.57</v>
      </c>
      <c r="H334" s="2">
        <v>46048</v>
      </c>
      <c r="I334" s="15">
        <f ca="1">TODAY()-Base_Relatório[[#This Row],[Plantio]]</f>
        <v>191</v>
      </c>
      <c r="K334" s="14">
        <v>46168</v>
      </c>
      <c r="L334" s="14" t="s">
        <v>190</v>
      </c>
      <c r="M334" s="3">
        <v>1058.8235294117646</v>
      </c>
      <c r="N334" s="4">
        <v>0.20313052138475213</v>
      </c>
      <c r="O334" s="5" t="s">
        <v>157</v>
      </c>
      <c r="P334" s="5" t="s">
        <v>12</v>
      </c>
      <c r="Q334" s="5" t="s">
        <v>158</v>
      </c>
      <c r="R334" s="2"/>
      <c r="S334" s="5" t="s">
        <v>126</v>
      </c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 spans="2:33" hidden="1" x14ac:dyDescent="0.35">
      <c r="B335" s="5" t="s">
        <v>21</v>
      </c>
      <c r="C335" s="1">
        <v>295</v>
      </c>
      <c r="D335" s="5" t="s">
        <v>98</v>
      </c>
      <c r="E335" s="5" t="s">
        <v>99</v>
      </c>
      <c r="F335" s="6">
        <v>27.99</v>
      </c>
      <c r="G335" s="1">
        <v>27.89</v>
      </c>
      <c r="H335" s="2">
        <v>46043</v>
      </c>
      <c r="I335" s="15">
        <f ca="1">TODAY()-Base_Relatório[[#This Row],[Plantio]]</f>
        <v>196</v>
      </c>
      <c r="K335" s="14">
        <v>46163</v>
      </c>
      <c r="L335" s="14" t="s">
        <v>190</v>
      </c>
      <c r="M335" s="3">
        <v>1127.5</v>
      </c>
      <c r="N335" s="4">
        <v>0.29788935475630168</v>
      </c>
      <c r="O335" s="5" t="s">
        <v>159</v>
      </c>
      <c r="P335" s="5" t="s">
        <v>9</v>
      </c>
      <c r="Q335" s="5" t="s">
        <v>158</v>
      </c>
      <c r="R335" s="2"/>
      <c r="S335" s="5" t="s">
        <v>126</v>
      </c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 spans="2:33" hidden="1" x14ac:dyDescent="0.35">
      <c r="B336" s="5" t="s">
        <v>21</v>
      </c>
      <c r="C336" s="1">
        <v>295</v>
      </c>
      <c r="D336" s="5" t="s">
        <v>98</v>
      </c>
      <c r="E336" s="5" t="s">
        <v>37</v>
      </c>
      <c r="F336" s="6">
        <v>20.329999999999998</v>
      </c>
      <c r="G336" s="1">
        <v>19.8</v>
      </c>
      <c r="H336" s="2">
        <v>46002</v>
      </c>
      <c r="I336" s="15">
        <f ca="1">TODAY()-Base_Relatório[[#This Row],[Plantio]]</f>
        <v>237</v>
      </c>
      <c r="K336" s="14">
        <v>46122</v>
      </c>
      <c r="L336" s="14" t="s">
        <v>190</v>
      </c>
      <c r="M336" s="3">
        <v>1020.8333333333334</v>
      </c>
      <c r="N336" s="4">
        <v>0.4418073055196155</v>
      </c>
      <c r="O336" s="5" t="s">
        <v>163</v>
      </c>
      <c r="P336" s="5" t="s">
        <v>12</v>
      </c>
      <c r="Q336" s="5" t="s">
        <v>100</v>
      </c>
      <c r="R336" s="2"/>
      <c r="S336" s="5" t="s">
        <v>126</v>
      </c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 spans="2:33" hidden="1" x14ac:dyDescent="0.35">
      <c r="B337" s="5" t="s">
        <v>21</v>
      </c>
      <c r="C337" s="1">
        <v>295</v>
      </c>
      <c r="D337" s="5" t="s">
        <v>98</v>
      </c>
      <c r="E337" s="5" t="s">
        <v>13</v>
      </c>
      <c r="F337" s="6">
        <v>30.81</v>
      </c>
      <c r="G337" s="1">
        <v>30.31</v>
      </c>
      <c r="H337" s="2">
        <v>46042</v>
      </c>
      <c r="I337" s="15">
        <f ca="1">TODAY()-Base_Relatório[[#This Row],[Plantio]]</f>
        <v>197</v>
      </c>
      <c r="K337" s="14">
        <v>46162</v>
      </c>
      <c r="L337" s="14" t="s">
        <v>190</v>
      </c>
      <c r="M337" s="3">
        <v>1059.090909090909</v>
      </c>
      <c r="N337" s="4">
        <v>0.23982409553811818</v>
      </c>
      <c r="O337" s="5" t="s">
        <v>157</v>
      </c>
      <c r="P337" s="5" t="s">
        <v>12</v>
      </c>
      <c r="Q337" s="5" t="s">
        <v>158</v>
      </c>
      <c r="R337" s="2"/>
      <c r="S337" s="5" t="s">
        <v>126</v>
      </c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 spans="2:33" hidden="1" x14ac:dyDescent="0.35">
      <c r="B338" s="5" t="s">
        <v>21</v>
      </c>
      <c r="C338" s="1">
        <v>295</v>
      </c>
      <c r="D338" s="5" t="s">
        <v>98</v>
      </c>
      <c r="E338" s="5" t="s">
        <v>40</v>
      </c>
      <c r="F338" s="6">
        <v>50.75</v>
      </c>
      <c r="G338" s="1">
        <v>30.66</v>
      </c>
      <c r="H338" s="2">
        <v>46056</v>
      </c>
      <c r="I338" s="15">
        <f ca="1">TODAY()-Base_Relatório[[#This Row],[Plantio]]</f>
        <v>183</v>
      </c>
      <c r="K338" s="14">
        <v>46176</v>
      </c>
      <c r="L338" s="14" t="s">
        <v>190</v>
      </c>
      <c r="M338" s="3">
        <v>1055</v>
      </c>
      <c r="N338" s="4">
        <v>0.25500696963782965</v>
      </c>
      <c r="O338" s="5" t="s">
        <v>159</v>
      </c>
      <c r="P338" s="5" t="s">
        <v>12</v>
      </c>
      <c r="Q338" s="5" t="s">
        <v>158</v>
      </c>
      <c r="R338" s="2"/>
      <c r="S338" s="5" t="s">
        <v>126</v>
      </c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 spans="2:33" hidden="1" x14ac:dyDescent="0.35">
      <c r="B339" s="5" t="s">
        <v>21</v>
      </c>
      <c r="C339" s="1">
        <v>295</v>
      </c>
      <c r="D339" s="5" t="s">
        <v>98</v>
      </c>
      <c r="E339" s="5" t="s">
        <v>58</v>
      </c>
      <c r="F339" s="6">
        <v>44.39</v>
      </c>
      <c r="G339" s="1">
        <v>42.68</v>
      </c>
      <c r="H339" s="2">
        <v>46034</v>
      </c>
      <c r="I339" s="15">
        <f ca="1">TODAY()-Base_Relatório[[#This Row],[Plantio]]</f>
        <v>205</v>
      </c>
      <c r="K339" s="14">
        <v>46154</v>
      </c>
      <c r="L339" s="14" t="s">
        <v>190</v>
      </c>
      <c r="M339" s="3">
        <v>1018.3333333333334</v>
      </c>
      <c r="N339" s="4">
        <v>0.19098498363234884</v>
      </c>
      <c r="O339" s="5" t="s">
        <v>156</v>
      </c>
      <c r="P339" s="5" t="s">
        <v>12</v>
      </c>
      <c r="Q339" s="5" t="s">
        <v>15</v>
      </c>
      <c r="R339" s="2"/>
      <c r="S339" s="5" t="s">
        <v>126</v>
      </c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 spans="2:33" hidden="1" x14ac:dyDescent="0.35">
      <c r="B340" s="5" t="s">
        <v>21</v>
      </c>
      <c r="C340" s="1">
        <v>295</v>
      </c>
      <c r="D340" s="5" t="s">
        <v>98</v>
      </c>
      <c r="E340" s="5" t="s">
        <v>41</v>
      </c>
      <c r="F340" s="6">
        <v>38.01</v>
      </c>
      <c r="G340" s="1">
        <v>34.39</v>
      </c>
      <c r="H340" s="2">
        <v>46071</v>
      </c>
      <c r="I340" s="15">
        <f ca="1">TODAY()-Base_Relatório[[#This Row],[Plantio]]</f>
        <v>168</v>
      </c>
      <c r="K340" s="14">
        <v>46191</v>
      </c>
      <c r="L340" s="14" t="s">
        <v>190</v>
      </c>
      <c r="M340" s="3">
        <v>996.42857142857144</v>
      </c>
      <c r="N340" s="4">
        <v>0.22652468075013871</v>
      </c>
      <c r="O340" s="5" t="s">
        <v>157</v>
      </c>
      <c r="P340" s="5" t="s">
        <v>12</v>
      </c>
      <c r="Q340" s="5" t="s">
        <v>158</v>
      </c>
      <c r="R340" s="2"/>
      <c r="S340" s="5" t="s">
        <v>126</v>
      </c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 spans="2:33" hidden="1" x14ac:dyDescent="0.35">
      <c r="B341" s="5" t="s">
        <v>21</v>
      </c>
      <c r="C341" s="1">
        <v>295</v>
      </c>
      <c r="D341" s="5" t="s">
        <v>98</v>
      </c>
      <c r="E341" s="5" t="s">
        <v>42</v>
      </c>
      <c r="F341" s="6">
        <v>31.09</v>
      </c>
      <c r="G341" s="1">
        <v>32.06</v>
      </c>
      <c r="H341" s="2">
        <v>46009</v>
      </c>
      <c r="I341" s="15">
        <f ca="1">TODAY()-Base_Relatório[[#This Row],[Plantio]]</f>
        <v>230</v>
      </c>
      <c r="K341" s="14">
        <v>46129</v>
      </c>
      <c r="L341" s="14" t="s">
        <v>190</v>
      </c>
      <c r="M341" s="3">
        <v>1077.5</v>
      </c>
      <c r="N341" s="4">
        <v>0.26395045333824763</v>
      </c>
      <c r="O341" s="5" t="s">
        <v>159</v>
      </c>
      <c r="P341" s="5" t="s">
        <v>12</v>
      </c>
      <c r="Q341" s="5" t="s">
        <v>158</v>
      </c>
      <c r="R341" s="2"/>
      <c r="S341" s="5" t="s">
        <v>126</v>
      </c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 spans="2:33" hidden="1" x14ac:dyDescent="0.35">
      <c r="B342" s="5" t="s">
        <v>21</v>
      </c>
      <c r="C342" s="1">
        <v>295</v>
      </c>
      <c r="D342" s="5" t="s">
        <v>98</v>
      </c>
      <c r="E342" s="5" t="s">
        <v>43</v>
      </c>
      <c r="F342" s="6">
        <v>31.05</v>
      </c>
      <c r="G342" s="1">
        <v>31.63</v>
      </c>
      <c r="H342" s="2">
        <v>46009</v>
      </c>
      <c r="I342" s="15">
        <f ca="1">TODAY()-Base_Relatório[[#This Row],[Plantio]]</f>
        <v>230</v>
      </c>
      <c r="K342" s="14">
        <v>46129</v>
      </c>
      <c r="L342" s="14" t="s">
        <v>190</v>
      </c>
      <c r="M342" s="3">
        <v>1055</v>
      </c>
      <c r="N342" s="4">
        <v>0.32901652390389269</v>
      </c>
      <c r="O342" s="5" t="s">
        <v>161</v>
      </c>
      <c r="P342" s="5" t="s">
        <v>12</v>
      </c>
      <c r="Q342" s="5" t="s">
        <v>158</v>
      </c>
      <c r="R342" s="2"/>
      <c r="S342" s="5" t="s">
        <v>126</v>
      </c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 spans="2:33" hidden="1" x14ac:dyDescent="0.35">
      <c r="B343" s="5" t="s">
        <v>21</v>
      </c>
      <c r="C343" s="1">
        <v>295</v>
      </c>
      <c r="D343" s="5" t="s">
        <v>98</v>
      </c>
      <c r="E343" s="5" t="s">
        <v>45</v>
      </c>
      <c r="F343" s="6">
        <v>33.700000000000003</v>
      </c>
      <c r="G343" s="1">
        <v>32.75</v>
      </c>
      <c r="H343" s="2">
        <v>46057</v>
      </c>
      <c r="I343" s="15">
        <f ca="1">TODAY()-Base_Relatório[[#This Row],[Plantio]]</f>
        <v>182</v>
      </c>
      <c r="K343" s="14">
        <v>46177</v>
      </c>
      <c r="L343" s="14" t="s">
        <v>190</v>
      </c>
      <c r="M343" s="3">
        <v>1056.25</v>
      </c>
      <c r="N343" s="4">
        <v>0.20968196769010197</v>
      </c>
      <c r="O343" s="5" t="s">
        <v>157</v>
      </c>
      <c r="P343" s="5" t="s">
        <v>12</v>
      </c>
      <c r="Q343" s="5" t="s">
        <v>158</v>
      </c>
      <c r="R343" s="2"/>
      <c r="S343" s="5" t="s">
        <v>126</v>
      </c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 spans="2:33" hidden="1" x14ac:dyDescent="0.35">
      <c r="B344" s="5" t="s">
        <v>21</v>
      </c>
      <c r="C344" s="1">
        <v>295</v>
      </c>
      <c r="D344" s="5" t="s">
        <v>98</v>
      </c>
      <c r="E344" s="5" t="s">
        <v>14</v>
      </c>
      <c r="F344" s="6">
        <v>43.4</v>
      </c>
      <c r="G344" s="1">
        <v>43.32</v>
      </c>
      <c r="H344" s="2">
        <v>46010</v>
      </c>
      <c r="I344" s="15">
        <f ca="1">TODAY()-Base_Relatório[[#This Row],[Plantio]]</f>
        <v>229</v>
      </c>
      <c r="K344" s="14">
        <v>46130</v>
      </c>
      <c r="L344" s="14" t="s">
        <v>190</v>
      </c>
      <c r="M344" s="3">
        <v>1164.2857142857142</v>
      </c>
      <c r="N344" s="4">
        <v>0.24466369101781663</v>
      </c>
      <c r="O344" s="5" t="s">
        <v>157</v>
      </c>
      <c r="P344" s="5" t="s">
        <v>9</v>
      </c>
      <c r="Q344" s="5" t="s">
        <v>158</v>
      </c>
      <c r="R344" s="2"/>
      <c r="S344" s="5" t="s">
        <v>126</v>
      </c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 spans="2:33" hidden="1" x14ac:dyDescent="0.35">
      <c r="B345" s="5" t="s">
        <v>21</v>
      </c>
      <c r="C345" s="1">
        <v>295</v>
      </c>
      <c r="D345" s="5" t="s">
        <v>98</v>
      </c>
      <c r="E345" s="5" t="s">
        <v>101</v>
      </c>
      <c r="F345" s="6">
        <v>29.27</v>
      </c>
      <c r="G345" s="1">
        <v>29.11</v>
      </c>
      <c r="H345" s="2">
        <v>46008</v>
      </c>
      <c r="I345" s="15">
        <f ca="1">TODAY()-Base_Relatório[[#This Row],[Plantio]]</f>
        <v>231</v>
      </c>
      <c r="K345" s="14">
        <v>46128</v>
      </c>
      <c r="L345" s="14" t="s">
        <v>190</v>
      </c>
      <c r="M345" s="3">
        <v>1120</v>
      </c>
      <c r="N345" s="4">
        <v>0.2507711954145258</v>
      </c>
      <c r="O345" s="5" t="s">
        <v>159</v>
      </c>
      <c r="P345" s="5" t="s">
        <v>9</v>
      </c>
      <c r="Q345" s="5" t="s">
        <v>158</v>
      </c>
      <c r="R345" s="2"/>
      <c r="S345" s="5" t="s">
        <v>126</v>
      </c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 spans="2:33" hidden="1" x14ac:dyDescent="0.35">
      <c r="B346" s="5" t="s">
        <v>21</v>
      </c>
      <c r="C346" s="1">
        <v>295</v>
      </c>
      <c r="D346" s="5" t="s">
        <v>98</v>
      </c>
      <c r="E346" s="5" t="s">
        <v>102</v>
      </c>
      <c r="F346" s="6">
        <v>17.96</v>
      </c>
      <c r="G346" s="1">
        <v>16.48</v>
      </c>
      <c r="H346" s="2">
        <v>46007</v>
      </c>
      <c r="I346" s="15">
        <f ca="1">TODAY()-Base_Relatório[[#This Row],[Plantio]]</f>
        <v>232</v>
      </c>
      <c r="K346" s="14">
        <v>46127</v>
      </c>
      <c r="L346" s="14" t="s">
        <v>190</v>
      </c>
      <c r="M346" s="3">
        <v>1108.3333333333333</v>
      </c>
      <c r="N346" s="4">
        <v>0.31662162331951088</v>
      </c>
      <c r="O346" s="5" t="s">
        <v>161</v>
      </c>
      <c r="P346" s="5" t="s">
        <v>9</v>
      </c>
      <c r="Q346" s="5" t="s">
        <v>158</v>
      </c>
      <c r="R346" s="2"/>
      <c r="S346" s="5" t="s">
        <v>126</v>
      </c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 spans="2:33" hidden="1" x14ac:dyDescent="0.35">
      <c r="B347" s="5" t="s">
        <v>21</v>
      </c>
      <c r="C347" s="1">
        <v>295</v>
      </c>
      <c r="D347" s="5" t="s">
        <v>98</v>
      </c>
      <c r="E347" s="5" t="s">
        <v>89</v>
      </c>
      <c r="F347" s="6">
        <v>22.14</v>
      </c>
      <c r="G347" s="1">
        <v>21.58</v>
      </c>
      <c r="H347" s="2">
        <v>46007</v>
      </c>
      <c r="I347" s="15">
        <f ca="1">TODAY()-Base_Relatório[[#This Row],[Plantio]]</f>
        <v>232</v>
      </c>
      <c r="K347" s="14">
        <v>46127</v>
      </c>
      <c r="L347" s="14" t="s">
        <v>190</v>
      </c>
      <c r="M347" s="3">
        <v>1128.3893557422969</v>
      </c>
      <c r="N347" s="4">
        <v>0.20801138672608516</v>
      </c>
      <c r="O347" s="5" t="s">
        <v>157</v>
      </c>
      <c r="P347" s="5" t="s">
        <v>9</v>
      </c>
      <c r="Q347" s="5" t="s">
        <v>158</v>
      </c>
      <c r="R347" s="2"/>
      <c r="S347" s="5" t="s">
        <v>126</v>
      </c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 spans="2:33" hidden="1" x14ac:dyDescent="0.35">
      <c r="B348" s="5" t="s">
        <v>21</v>
      </c>
      <c r="C348" s="1">
        <v>295</v>
      </c>
      <c r="D348" s="5" t="s">
        <v>98</v>
      </c>
      <c r="E348" s="5" t="s">
        <v>61</v>
      </c>
      <c r="F348" s="6">
        <v>46.67</v>
      </c>
      <c r="G348" s="1">
        <v>45.2</v>
      </c>
      <c r="H348" s="2">
        <v>46042</v>
      </c>
      <c r="I348" s="15">
        <f ca="1">TODAY()-Base_Relatório[[#This Row],[Plantio]]</f>
        <v>197</v>
      </c>
      <c r="K348" s="14">
        <v>46162</v>
      </c>
      <c r="L348" s="14" t="s">
        <v>190</v>
      </c>
      <c r="M348" s="3">
        <v>1066.6666666666667</v>
      </c>
      <c r="N348" s="4">
        <v>0.22152108713688992</v>
      </c>
      <c r="O348" s="5" t="s">
        <v>157</v>
      </c>
      <c r="P348" s="5" t="s">
        <v>12</v>
      </c>
      <c r="Q348" s="5" t="s">
        <v>158</v>
      </c>
      <c r="R348" s="2"/>
      <c r="S348" s="5" t="s">
        <v>126</v>
      </c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 spans="2:33" hidden="1" x14ac:dyDescent="0.35">
      <c r="B349" s="5" t="s">
        <v>21</v>
      </c>
      <c r="C349" s="1">
        <v>295</v>
      </c>
      <c r="D349" s="5" t="s">
        <v>98</v>
      </c>
      <c r="E349" s="5" t="s">
        <v>90</v>
      </c>
      <c r="F349" s="6">
        <v>31.03</v>
      </c>
      <c r="G349" s="1">
        <v>31.06</v>
      </c>
      <c r="H349" s="2">
        <v>46003</v>
      </c>
      <c r="I349" s="15">
        <f ca="1">TODAY()-Base_Relatório[[#This Row],[Plantio]]</f>
        <v>236</v>
      </c>
      <c r="K349" s="14">
        <v>46123</v>
      </c>
      <c r="L349" s="14" t="s">
        <v>190</v>
      </c>
      <c r="M349" s="3">
        <v>1112.5</v>
      </c>
      <c r="N349" s="4">
        <v>0.32492481442699422</v>
      </c>
      <c r="O349" s="5" t="s">
        <v>161</v>
      </c>
      <c r="P349" s="5" t="s">
        <v>9</v>
      </c>
      <c r="Q349" s="5" t="s">
        <v>158</v>
      </c>
      <c r="R349" s="2"/>
      <c r="S349" s="5" t="s">
        <v>126</v>
      </c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 spans="2:33" hidden="1" x14ac:dyDescent="0.35">
      <c r="B350" s="5" t="s">
        <v>21</v>
      </c>
      <c r="C350" s="1">
        <v>295</v>
      </c>
      <c r="D350" s="5" t="s">
        <v>98</v>
      </c>
      <c r="E350" s="5" t="s">
        <v>62</v>
      </c>
      <c r="F350" s="6">
        <v>37</v>
      </c>
      <c r="G350" s="1">
        <v>35.43</v>
      </c>
      <c r="H350" s="2">
        <v>46006</v>
      </c>
      <c r="I350" s="15">
        <f ca="1">TODAY()-Base_Relatório[[#This Row],[Plantio]]</f>
        <v>233</v>
      </c>
      <c r="K350" s="14">
        <v>46126</v>
      </c>
      <c r="L350" s="14" t="s">
        <v>190</v>
      </c>
      <c r="M350" s="3">
        <v>1050</v>
      </c>
      <c r="N350" s="4">
        <v>0.25928324496776667</v>
      </c>
      <c r="O350" s="5" t="s">
        <v>159</v>
      </c>
      <c r="P350" s="5" t="s">
        <v>12</v>
      </c>
      <c r="Q350" s="5" t="s">
        <v>158</v>
      </c>
      <c r="R350" s="2"/>
      <c r="S350" s="5" t="s">
        <v>126</v>
      </c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 spans="2:33" hidden="1" x14ac:dyDescent="0.35">
      <c r="B351" s="5" t="s">
        <v>21</v>
      </c>
      <c r="C351" s="1">
        <v>295</v>
      </c>
      <c r="D351" s="5" t="s">
        <v>98</v>
      </c>
      <c r="E351" s="5" t="s">
        <v>92</v>
      </c>
      <c r="F351" s="6">
        <v>7.28</v>
      </c>
      <c r="G351" s="1">
        <v>7.01</v>
      </c>
      <c r="H351" s="2">
        <v>46006</v>
      </c>
      <c r="I351" s="15">
        <f ca="1">TODAY()-Base_Relatório[[#This Row],[Plantio]]</f>
        <v>233</v>
      </c>
      <c r="K351" s="14">
        <v>46126</v>
      </c>
      <c r="L351" s="14" t="s">
        <v>190</v>
      </c>
      <c r="M351" s="3">
        <v>1075</v>
      </c>
      <c r="N351" s="4">
        <v>0.22831323584423383</v>
      </c>
      <c r="O351" s="5" t="s">
        <v>157</v>
      </c>
      <c r="P351" s="5" t="s">
        <v>12</v>
      </c>
      <c r="Q351" s="5" t="s">
        <v>158</v>
      </c>
      <c r="R351" s="2"/>
      <c r="S351" s="5" t="s">
        <v>126</v>
      </c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 spans="2:33" hidden="1" x14ac:dyDescent="0.35">
      <c r="B352" s="5" t="s">
        <v>21</v>
      </c>
      <c r="C352" s="1">
        <v>295</v>
      </c>
      <c r="D352" s="5" t="s">
        <v>98</v>
      </c>
      <c r="E352" s="5" t="s">
        <v>63</v>
      </c>
      <c r="F352" s="6">
        <v>13.76</v>
      </c>
      <c r="G352" s="1">
        <v>13.6</v>
      </c>
      <c r="H352" s="2">
        <v>46009</v>
      </c>
      <c r="I352" s="15">
        <f ca="1">TODAY()-Base_Relatório[[#This Row],[Plantio]]</f>
        <v>230</v>
      </c>
      <c r="K352" s="14">
        <v>46129</v>
      </c>
      <c r="L352" s="14" t="s">
        <v>190</v>
      </c>
      <c r="M352" s="3">
        <v>966.66666666666663</v>
      </c>
      <c r="N352" s="4">
        <v>0.32526223984675018</v>
      </c>
      <c r="O352" s="5" t="s">
        <v>161</v>
      </c>
      <c r="P352" s="5" t="s">
        <v>12</v>
      </c>
      <c r="Q352" s="5" t="s">
        <v>158</v>
      </c>
      <c r="R352" s="2"/>
      <c r="S352" s="5" t="s">
        <v>126</v>
      </c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 spans="2:33" hidden="1" x14ac:dyDescent="0.35">
      <c r="B353" s="5" t="s">
        <v>21</v>
      </c>
      <c r="C353" s="1">
        <v>416</v>
      </c>
      <c r="D353" s="5" t="s">
        <v>103</v>
      </c>
      <c r="E353" s="5" t="s">
        <v>17</v>
      </c>
      <c r="F353" s="6">
        <v>42.79</v>
      </c>
      <c r="H353" s="2">
        <v>46133</v>
      </c>
      <c r="I353" s="15">
        <f ca="1">TODAY()-Base_Relatório[[#This Row],[Plantio]]</f>
        <v>106</v>
      </c>
      <c r="K353" s="14">
        <v>46253</v>
      </c>
      <c r="L353" s="14" t="s">
        <v>189</v>
      </c>
      <c r="M353" s="3"/>
      <c r="N353" s="4"/>
      <c r="O353" s="5" t="s">
        <v>21</v>
      </c>
      <c r="P353" s="5" t="s">
        <v>21</v>
      </c>
      <c r="Q353" s="5" t="s">
        <v>21</v>
      </c>
      <c r="R353" s="2"/>
      <c r="S353" s="5" t="s">
        <v>126</v>
      </c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 spans="2:33" hidden="1" x14ac:dyDescent="0.35">
      <c r="B354" s="5" t="s">
        <v>21</v>
      </c>
      <c r="C354" s="1">
        <v>416</v>
      </c>
      <c r="D354" s="5" t="s">
        <v>103</v>
      </c>
      <c r="E354" s="5" t="s">
        <v>54</v>
      </c>
      <c r="F354" s="6">
        <v>53.94</v>
      </c>
      <c r="H354" s="2">
        <v>46132</v>
      </c>
      <c r="I354" s="15">
        <f ca="1">TODAY()-Base_Relatório[[#This Row],[Plantio]]</f>
        <v>107</v>
      </c>
      <c r="K354" s="14">
        <v>46252</v>
      </c>
      <c r="L354" s="14" t="s">
        <v>189</v>
      </c>
      <c r="M354" s="3"/>
      <c r="N354" s="4"/>
      <c r="O354" s="5" t="s">
        <v>21</v>
      </c>
      <c r="P354" s="5" t="s">
        <v>21</v>
      </c>
      <c r="Q354" s="5" t="s">
        <v>21</v>
      </c>
      <c r="R354" s="2"/>
      <c r="S354" s="5" t="s">
        <v>126</v>
      </c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 spans="2:33" hidden="1" x14ac:dyDescent="0.35">
      <c r="B355" s="5" t="s">
        <v>21</v>
      </c>
      <c r="C355" s="1">
        <v>416</v>
      </c>
      <c r="D355" s="5" t="s">
        <v>103</v>
      </c>
      <c r="E355" s="5" t="s">
        <v>13</v>
      </c>
      <c r="F355" s="6">
        <v>19.27</v>
      </c>
      <c r="H355" s="2">
        <v>46128</v>
      </c>
      <c r="I355" s="15">
        <f ca="1">TODAY()-Base_Relatório[[#This Row],[Plantio]]</f>
        <v>111</v>
      </c>
      <c r="K355" s="14">
        <v>46248</v>
      </c>
      <c r="L355" s="14" t="s">
        <v>189</v>
      </c>
      <c r="M355" s="3"/>
      <c r="N355" s="4"/>
      <c r="O355" s="5" t="s">
        <v>21</v>
      </c>
      <c r="P355" s="5" t="s">
        <v>21</v>
      </c>
      <c r="Q355" s="5" t="s">
        <v>21</v>
      </c>
      <c r="R355" s="2"/>
      <c r="S355" s="5" t="s">
        <v>126</v>
      </c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 spans="2:33" hidden="1" x14ac:dyDescent="0.35">
      <c r="B356" s="5" t="s">
        <v>21</v>
      </c>
      <c r="C356" s="1">
        <v>416</v>
      </c>
      <c r="D356" s="5" t="s">
        <v>104</v>
      </c>
      <c r="E356" s="5" t="s">
        <v>55</v>
      </c>
      <c r="F356" s="6">
        <v>59.12</v>
      </c>
      <c r="H356" s="2">
        <v>46141</v>
      </c>
      <c r="I356" s="15">
        <f ca="1">TODAY()-Base_Relatório[[#This Row],[Plantio]]</f>
        <v>98</v>
      </c>
      <c r="K356" s="14">
        <v>46261</v>
      </c>
      <c r="L356" s="14" t="s">
        <v>189</v>
      </c>
      <c r="M356" s="3"/>
      <c r="N356" s="4"/>
      <c r="O356" s="5" t="s">
        <v>21</v>
      </c>
      <c r="P356" s="5" t="s">
        <v>21</v>
      </c>
      <c r="Q356" s="5" t="s">
        <v>21</v>
      </c>
      <c r="R356" s="2"/>
      <c r="S356" s="5" t="s">
        <v>126</v>
      </c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 spans="2:33" hidden="1" x14ac:dyDescent="0.35">
      <c r="B357" s="5" t="s">
        <v>21</v>
      </c>
      <c r="C357" s="1">
        <v>416</v>
      </c>
      <c r="D357" s="5" t="s">
        <v>104</v>
      </c>
      <c r="E357" s="5" t="s">
        <v>46</v>
      </c>
      <c r="F357" s="6">
        <v>14.89</v>
      </c>
      <c r="H357" s="2">
        <v>46135</v>
      </c>
      <c r="I357" s="15">
        <f ca="1">TODAY()-Base_Relatório[[#This Row],[Plantio]]</f>
        <v>104</v>
      </c>
      <c r="K357" s="14">
        <v>46255</v>
      </c>
      <c r="L357" s="14" t="s">
        <v>189</v>
      </c>
      <c r="M357" s="3"/>
      <c r="N357" s="4"/>
      <c r="O357" s="5" t="s">
        <v>21</v>
      </c>
      <c r="P357" s="5" t="s">
        <v>21</v>
      </c>
      <c r="Q357" s="5" t="s">
        <v>21</v>
      </c>
      <c r="R357" s="2"/>
      <c r="S357" s="5" t="s">
        <v>126</v>
      </c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 spans="2:33" hidden="1" x14ac:dyDescent="0.35">
      <c r="B358" s="5" t="s">
        <v>21</v>
      </c>
      <c r="C358" s="1">
        <v>416</v>
      </c>
      <c r="D358" s="5" t="s">
        <v>104</v>
      </c>
      <c r="E358" s="5" t="s">
        <v>56</v>
      </c>
      <c r="F358" s="6">
        <v>44.87</v>
      </c>
      <c r="H358" s="2">
        <v>46140</v>
      </c>
      <c r="I358" s="15">
        <f ca="1">TODAY()-Base_Relatório[[#This Row],[Plantio]]</f>
        <v>99</v>
      </c>
      <c r="K358" s="14">
        <v>46260</v>
      </c>
      <c r="L358" s="14" t="s">
        <v>189</v>
      </c>
      <c r="M358" s="3"/>
      <c r="N358" s="4"/>
      <c r="O358" s="5" t="s">
        <v>21</v>
      </c>
      <c r="P358" s="5" t="s">
        <v>21</v>
      </c>
      <c r="Q358" s="5" t="s">
        <v>21</v>
      </c>
      <c r="R358" s="2"/>
      <c r="S358" s="5" t="s">
        <v>126</v>
      </c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 spans="2:33" hidden="1" x14ac:dyDescent="0.35">
      <c r="B359" s="5" t="s">
        <v>21</v>
      </c>
      <c r="C359" s="1">
        <v>416</v>
      </c>
      <c r="D359" s="5" t="s">
        <v>104</v>
      </c>
      <c r="E359" s="5" t="s">
        <v>27</v>
      </c>
      <c r="F359" s="6">
        <v>2.74</v>
      </c>
      <c r="H359" s="2">
        <v>46136</v>
      </c>
      <c r="I359" s="15">
        <f ca="1">TODAY()-Base_Relatório[[#This Row],[Plantio]]</f>
        <v>103</v>
      </c>
      <c r="K359" s="14">
        <v>46256</v>
      </c>
      <c r="L359" s="14" t="s">
        <v>189</v>
      </c>
      <c r="M359" s="3"/>
      <c r="N359" s="4"/>
      <c r="O359" s="5" t="s">
        <v>21</v>
      </c>
      <c r="P359" s="5" t="s">
        <v>21</v>
      </c>
      <c r="Q359" s="5" t="s">
        <v>21</v>
      </c>
      <c r="R359" s="2"/>
      <c r="S359" s="5" t="s">
        <v>126</v>
      </c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 spans="2:33" hidden="1" x14ac:dyDescent="0.35">
      <c r="B360" s="5" t="s">
        <v>21</v>
      </c>
      <c r="C360" s="1">
        <v>416</v>
      </c>
      <c r="D360" s="5" t="s">
        <v>104</v>
      </c>
      <c r="E360" s="5" t="s">
        <v>28</v>
      </c>
      <c r="F360" s="6">
        <v>8.26</v>
      </c>
      <c r="H360" s="2">
        <v>46133</v>
      </c>
      <c r="I360" s="15">
        <f ca="1">TODAY()-Base_Relatório[[#This Row],[Plantio]]</f>
        <v>106</v>
      </c>
      <c r="K360" s="14">
        <v>46253</v>
      </c>
      <c r="L360" s="14" t="s">
        <v>189</v>
      </c>
      <c r="M360" s="3"/>
      <c r="N360" s="4"/>
      <c r="O360" s="5" t="s">
        <v>21</v>
      </c>
      <c r="P360" s="5" t="s">
        <v>21</v>
      </c>
      <c r="Q360" s="5" t="s">
        <v>21</v>
      </c>
      <c r="R360" s="2"/>
      <c r="S360" s="5" t="s">
        <v>126</v>
      </c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 spans="2:33" hidden="1" x14ac:dyDescent="0.35">
      <c r="B361" s="5" t="s">
        <v>21</v>
      </c>
      <c r="C361" s="1">
        <v>450</v>
      </c>
      <c r="D361" s="5" t="s">
        <v>105</v>
      </c>
      <c r="E361" s="5" t="s">
        <v>22</v>
      </c>
      <c r="F361" s="6">
        <v>21.72</v>
      </c>
      <c r="G361" s="1">
        <v>21.67</v>
      </c>
      <c r="H361" s="2">
        <v>46009</v>
      </c>
      <c r="I361" s="15">
        <f ca="1">TODAY()-Base_Relatório[[#This Row],[Plantio]]</f>
        <v>230</v>
      </c>
      <c r="K361" s="14">
        <v>46129</v>
      </c>
      <c r="L361" s="14" t="s">
        <v>190</v>
      </c>
      <c r="M361" s="3">
        <v>1092.8571428571429</v>
      </c>
      <c r="N361" s="4">
        <v>0.16741562968041115</v>
      </c>
      <c r="O361" s="5" t="s">
        <v>156</v>
      </c>
      <c r="P361" s="5" t="s">
        <v>12</v>
      </c>
      <c r="Q361" s="5" t="s">
        <v>15</v>
      </c>
      <c r="R361" s="2"/>
      <c r="S361" s="5" t="s">
        <v>126</v>
      </c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 spans="2:33" hidden="1" x14ac:dyDescent="0.35">
      <c r="B362" s="5" t="s">
        <v>21</v>
      </c>
      <c r="C362" s="1">
        <v>450</v>
      </c>
      <c r="D362" s="5" t="s">
        <v>105</v>
      </c>
      <c r="E362" s="5" t="s">
        <v>23</v>
      </c>
      <c r="F362" s="6">
        <v>34.58</v>
      </c>
      <c r="G362" s="1">
        <v>34.79</v>
      </c>
      <c r="H362" s="2">
        <v>46008</v>
      </c>
      <c r="I362" s="15">
        <f ca="1">TODAY()-Base_Relatório[[#This Row],[Plantio]]</f>
        <v>231</v>
      </c>
      <c r="K362" s="14">
        <v>46128</v>
      </c>
      <c r="L362" s="14" t="s">
        <v>190</v>
      </c>
      <c r="M362" s="3">
        <v>1160</v>
      </c>
      <c r="N362" s="4">
        <v>0.15063518413059127</v>
      </c>
      <c r="O362" s="5" t="s">
        <v>156</v>
      </c>
      <c r="P362" s="5" t="s">
        <v>9</v>
      </c>
      <c r="Q362" s="5" t="s">
        <v>15</v>
      </c>
      <c r="R362" s="2"/>
      <c r="S362" s="5" t="s">
        <v>126</v>
      </c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 spans="2:33" hidden="1" x14ac:dyDescent="0.35">
      <c r="B363" s="5" t="s">
        <v>21</v>
      </c>
      <c r="C363" s="1">
        <v>450</v>
      </c>
      <c r="D363" s="5" t="s">
        <v>105</v>
      </c>
      <c r="E363" s="5" t="s">
        <v>24</v>
      </c>
      <c r="F363" s="6">
        <v>29.43</v>
      </c>
      <c r="G363" s="1">
        <v>29.88</v>
      </c>
      <c r="H363" s="2">
        <v>46006</v>
      </c>
      <c r="I363" s="15">
        <f ca="1">TODAY()-Base_Relatório[[#This Row],[Plantio]]</f>
        <v>233</v>
      </c>
      <c r="K363" s="14">
        <v>46126</v>
      </c>
      <c r="L363" s="14" t="s">
        <v>190</v>
      </c>
      <c r="M363" s="3">
        <v>1082.5</v>
      </c>
      <c r="N363" s="4">
        <v>0.49099861055226868</v>
      </c>
      <c r="O363" s="5" t="s">
        <v>163</v>
      </c>
      <c r="P363" s="5" t="s">
        <v>12</v>
      </c>
      <c r="Q363" s="5" t="s">
        <v>100</v>
      </c>
      <c r="R363" s="2"/>
      <c r="S363" s="5" t="s">
        <v>126</v>
      </c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 spans="2:33" hidden="1" x14ac:dyDescent="0.35">
      <c r="B364" s="5" t="s">
        <v>21</v>
      </c>
      <c r="C364" s="1">
        <v>450</v>
      </c>
      <c r="D364" s="5" t="s">
        <v>105</v>
      </c>
      <c r="E364" s="5" t="s">
        <v>31</v>
      </c>
      <c r="F364" s="6">
        <v>57.7</v>
      </c>
      <c r="G364" s="1">
        <v>58.55</v>
      </c>
      <c r="H364" s="2">
        <v>46009</v>
      </c>
      <c r="I364" s="15">
        <f ca="1">TODAY()-Base_Relatório[[#This Row],[Plantio]]</f>
        <v>230</v>
      </c>
      <c r="K364" s="14">
        <v>46129</v>
      </c>
      <c r="L364" s="14" t="s">
        <v>190</v>
      </c>
      <c r="M364" s="3">
        <v>1147.3684210526317</v>
      </c>
      <c r="N364" s="4">
        <v>0.1883673570063574</v>
      </c>
      <c r="O364" s="5" t="s">
        <v>156</v>
      </c>
      <c r="P364" s="5" t="s">
        <v>9</v>
      </c>
      <c r="Q364" s="5" t="s">
        <v>15</v>
      </c>
      <c r="R364" s="2"/>
      <c r="S364" s="5" t="s">
        <v>126</v>
      </c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 spans="2:33" hidden="1" x14ac:dyDescent="0.35">
      <c r="B365" s="5" t="s">
        <v>21</v>
      </c>
      <c r="C365" s="1">
        <v>450</v>
      </c>
      <c r="D365" s="5" t="s">
        <v>105</v>
      </c>
      <c r="E365" s="5" t="s">
        <v>11</v>
      </c>
      <c r="F365" s="6">
        <v>28.32</v>
      </c>
      <c r="G365" s="1">
        <v>28.19</v>
      </c>
      <c r="H365" s="2">
        <v>46001</v>
      </c>
      <c r="I365" s="15">
        <f ca="1">TODAY()-Base_Relatório[[#This Row],[Plantio]]</f>
        <v>238</v>
      </c>
      <c r="K365" s="14">
        <v>46121</v>
      </c>
      <c r="L365" s="14" t="s">
        <v>190</v>
      </c>
      <c r="M365" s="3">
        <v>1155.5555555555557</v>
      </c>
      <c r="N365" s="4">
        <v>0.21141569659116699</v>
      </c>
      <c r="O365" s="5" t="s">
        <v>157</v>
      </c>
      <c r="P365" s="5" t="s">
        <v>9</v>
      </c>
      <c r="Q365" s="5" t="s">
        <v>158</v>
      </c>
      <c r="R365" s="2"/>
      <c r="S365" s="5" t="s">
        <v>126</v>
      </c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 spans="2:33" hidden="1" x14ac:dyDescent="0.35">
      <c r="B366" s="5" t="s">
        <v>21</v>
      </c>
      <c r="C366" s="1">
        <v>450</v>
      </c>
      <c r="D366" s="5" t="s">
        <v>105</v>
      </c>
      <c r="E366" s="5" t="s">
        <v>32</v>
      </c>
      <c r="F366" s="6">
        <v>26.9</v>
      </c>
      <c r="G366" s="1">
        <v>26.64</v>
      </c>
      <c r="H366" s="2">
        <v>45989</v>
      </c>
      <c r="I366" s="15">
        <f ca="1">TODAY()-Base_Relatório[[#This Row],[Plantio]]</f>
        <v>250</v>
      </c>
      <c r="K366" s="14">
        <v>46109</v>
      </c>
      <c r="L366" s="14" t="s">
        <v>190</v>
      </c>
      <c r="M366" s="3">
        <v>1128.5714285714287</v>
      </c>
      <c r="N366" s="4">
        <v>0.1620605534609553</v>
      </c>
      <c r="O366" s="5" t="s">
        <v>156</v>
      </c>
      <c r="P366" s="5" t="s">
        <v>9</v>
      </c>
      <c r="Q366" s="5" t="s">
        <v>15</v>
      </c>
      <c r="R366" s="2"/>
      <c r="S366" s="5" t="s">
        <v>126</v>
      </c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 spans="2:33" hidden="1" x14ac:dyDescent="0.35">
      <c r="B367" s="5" t="s">
        <v>21</v>
      </c>
      <c r="C367" s="1">
        <v>450</v>
      </c>
      <c r="D367" s="5" t="s">
        <v>105</v>
      </c>
      <c r="E367" s="5" t="s">
        <v>106</v>
      </c>
      <c r="F367" s="6">
        <v>56.24</v>
      </c>
      <c r="G367" s="1">
        <v>56.08</v>
      </c>
      <c r="H367" s="2">
        <v>45986</v>
      </c>
      <c r="I367" s="15">
        <f ca="1">TODAY()-Base_Relatório[[#This Row],[Plantio]]</f>
        <v>253</v>
      </c>
      <c r="K367" s="14">
        <v>46106</v>
      </c>
      <c r="L367" s="14" t="s">
        <v>190</v>
      </c>
      <c r="M367" s="3">
        <v>1097</v>
      </c>
      <c r="N367" s="4">
        <v>0.12406094414536063</v>
      </c>
      <c r="O367" s="5" t="s">
        <v>160</v>
      </c>
      <c r="P367" s="5" t="s">
        <v>12</v>
      </c>
      <c r="Q367" s="5" t="s">
        <v>15</v>
      </c>
      <c r="R367" s="2"/>
      <c r="S367" s="5" t="s">
        <v>126</v>
      </c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 spans="2:33" hidden="1" x14ac:dyDescent="0.35">
      <c r="B368" s="5" t="s">
        <v>21</v>
      </c>
      <c r="C368" s="1">
        <v>450</v>
      </c>
      <c r="D368" s="5" t="s">
        <v>105</v>
      </c>
      <c r="E368" s="5" t="s">
        <v>107</v>
      </c>
      <c r="F368" s="6">
        <v>40.83</v>
      </c>
      <c r="G368" s="1">
        <v>41.23</v>
      </c>
      <c r="H368" s="2">
        <v>45999</v>
      </c>
      <c r="I368" s="15">
        <f ca="1">TODAY()-Base_Relatório[[#This Row],[Plantio]]</f>
        <v>240</v>
      </c>
      <c r="K368" s="14">
        <v>46119</v>
      </c>
      <c r="L368" s="14" t="s">
        <v>190</v>
      </c>
      <c r="M368" s="3">
        <v>1166.0714285714287</v>
      </c>
      <c r="N368" s="4">
        <v>0.14838363217697739</v>
      </c>
      <c r="O368" s="5" t="s">
        <v>160</v>
      </c>
      <c r="P368" s="5" t="s">
        <v>9</v>
      </c>
      <c r="Q368" s="5" t="s">
        <v>15</v>
      </c>
      <c r="R368" s="2"/>
      <c r="S368" s="5" t="s">
        <v>126</v>
      </c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 spans="2:33" hidden="1" x14ac:dyDescent="0.35">
      <c r="B369" s="5" t="s">
        <v>21</v>
      </c>
      <c r="C369" s="1">
        <v>450</v>
      </c>
      <c r="D369" s="5" t="s">
        <v>105</v>
      </c>
      <c r="E369" s="5" t="s">
        <v>108</v>
      </c>
      <c r="F369" s="6">
        <v>31.36</v>
      </c>
      <c r="G369" s="1">
        <v>30.9</v>
      </c>
      <c r="H369" s="2">
        <v>45997</v>
      </c>
      <c r="I369" s="15">
        <f ca="1">TODAY()-Base_Relatório[[#This Row],[Plantio]]</f>
        <v>242</v>
      </c>
      <c r="K369" s="14">
        <v>46117</v>
      </c>
      <c r="L369" s="14" t="s">
        <v>190</v>
      </c>
      <c r="M369" s="3">
        <v>1170.4545454545455</v>
      </c>
      <c r="N369" s="4">
        <v>0.12452588177328559</v>
      </c>
      <c r="O369" s="5" t="s">
        <v>160</v>
      </c>
      <c r="P369" s="5" t="s">
        <v>9</v>
      </c>
      <c r="Q369" s="5" t="s">
        <v>15</v>
      </c>
      <c r="R369" s="2"/>
      <c r="S369" s="5" t="s">
        <v>126</v>
      </c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 spans="2:33" hidden="1" x14ac:dyDescent="0.35">
      <c r="B370" s="5" t="s">
        <v>21</v>
      </c>
      <c r="C370" s="1">
        <v>450</v>
      </c>
      <c r="D370" s="5" t="s">
        <v>105</v>
      </c>
      <c r="E370" s="5" t="s">
        <v>109</v>
      </c>
      <c r="F370" s="6">
        <v>19.25</v>
      </c>
      <c r="G370" s="1">
        <v>19.03</v>
      </c>
      <c r="H370" s="2">
        <v>46000</v>
      </c>
      <c r="I370" s="15">
        <f ca="1">TODAY()-Base_Relatório[[#This Row],[Plantio]]</f>
        <v>239</v>
      </c>
      <c r="K370" s="14">
        <v>46120</v>
      </c>
      <c r="L370" s="14" t="s">
        <v>190</v>
      </c>
      <c r="M370" s="3">
        <v>1154.1666666666667</v>
      </c>
      <c r="N370" s="4">
        <v>0.10688308906167082</v>
      </c>
      <c r="O370" s="5" t="s">
        <v>160</v>
      </c>
      <c r="P370" s="5" t="s">
        <v>9</v>
      </c>
      <c r="Q370" s="5" t="s">
        <v>15</v>
      </c>
      <c r="R370" s="2"/>
      <c r="S370" s="5" t="s">
        <v>126</v>
      </c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 spans="2:33" hidden="1" x14ac:dyDescent="0.35">
      <c r="B371" s="5" t="s">
        <v>21</v>
      </c>
      <c r="C371" s="1">
        <v>471</v>
      </c>
      <c r="D371" s="5" t="s">
        <v>16</v>
      </c>
      <c r="E371" s="5" t="s">
        <v>22</v>
      </c>
      <c r="F371" s="6">
        <v>43.19</v>
      </c>
      <c r="G371" s="1">
        <v>42.62</v>
      </c>
      <c r="H371" s="2">
        <v>46006</v>
      </c>
      <c r="I371" s="15">
        <f ca="1">TODAY()-Base_Relatório[[#This Row],[Plantio]]</f>
        <v>233</v>
      </c>
      <c r="K371" s="14">
        <v>46126</v>
      </c>
      <c r="L371" s="14" t="s">
        <v>190</v>
      </c>
      <c r="M371" s="3">
        <v>1105.3571428571429</v>
      </c>
      <c r="N371" s="4">
        <v>0.26240975736762451</v>
      </c>
      <c r="O371" s="5" t="s">
        <v>159</v>
      </c>
      <c r="P371" s="5" t="s">
        <v>9</v>
      </c>
      <c r="Q371" s="5" t="s">
        <v>158</v>
      </c>
      <c r="R371" s="2"/>
      <c r="S371" s="5" t="s">
        <v>126</v>
      </c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 spans="2:33" hidden="1" x14ac:dyDescent="0.35">
      <c r="B372" s="5" t="s">
        <v>21</v>
      </c>
      <c r="C372" s="1">
        <v>471</v>
      </c>
      <c r="D372" s="5" t="s">
        <v>16</v>
      </c>
      <c r="E372" s="5" t="s">
        <v>28</v>
      </c>
      <c r="F372" s="6">
        <v>47.35</v>
      </c>
      <c r="G372" s="1">
        <v>46.03</v>
      </c>
      <c r="H372" s="2">
        <v>46003</v>
      </c>
      <c r="I372" s="15">
        <f ca="1">TODAY()-Base_Relatório[[#This Row],[Plantio]]</f>
        <v>236</v>
      </c>
      <c r="K372" s="14">
        <v>46123</v>
      </c>
      <c r="L372" s="14" t="s">
        <v>190</v>
      </c>
      <c r="M372" s="3">
        <v>1106.6666666666667</v>
      </c>
      <c r="N372" s="4">
        <v>0.1106596398293035</v>
      </c>
      <c r="O372" s="5" t="s">
        <v>160</v>
      </c>
      <c r="P372" s="5" t="s">
        <v>9</v>
      </c>
      <c r="Q372" s="5" t="s">
        <v>15</v>
      </c>
      <c r="R372" s="2"/>
      <c r="S372" s="5" t="s">
        <v>126</v>
      </c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 spans="2:33" hidden="1" x14ac:dyDescent="0.35">
      <c r="B373" s="5" t="s">
        <v>21</v>
      </c>
      <c r="C373" s="1">
        <v>471</v>
      </c>
      <c r="D373" s="5" t="s">
        <v>16</v>
      </c>
      <c r="E373" s="5" t="s">
        <v>29</v>
      </c>
      <c r="F373" s="6">
        <v>27.78</v>
      </c>
      <c r="G373" s="1">
        <v>27.27</v>
      </c>
      <c r="H373" s="2">
        <v>46008</v>
      </c>
      <c r="I373" s="15">
        <f ca="1">TODAY()-Base_Relatório[[#This Row],[Plantio]]</f>
        <v>231</v>
      </c>
      <c r="K373" s="14">
        <v>46128</v>
      </c>
      <c r="L373" s="14" t="s">
        <v>190</v>
      </c>
      <c r="M373" s="3">
        <v>1117.5</v>
      </c>
      <c r="N373" s="4">
        <v>0.28605167051265123</v>
      </c>
      <c r="O373" s="5" t="s">
        <v>159</v>
      </c>
      <c r="P373" s="5" t="s">
        <v>9</v>
      </c>
      <c r="Q373" s="5" t="s">
        <v>158</v>
      </c>
      <c r="R373" s="2"/>
      <c r="S373" s="5" t="s">
        <v>126</v>
      </c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 spans="2:33" hidden="1" x14ac:dyDescent="0.35">
      <c r="B374" s="5" t="s">
        <v>21</v>
      </c>
      <c r="C374" s="1">
        <v>489</v>
      </c>
      <c r="D374" s="5" t="s">
        <v>19</v>
      </c>
      <c r="E374" s="5" t="s">
        <v>52</v>
      </c>
      <c r="F374" s="6">
        <v>42.37</v>
      </c>
      <c r="G374" s="1">
        <v>42.36</v>
      </c>
      <c r="H374" s="2">
        <v>46084</v>
      </c>
      <c r="I374" s="15">
        <f ca="1">TODAY()-Base_Relatório[[#This Row],[Plantio]]</f>
        <v>155</v>
      </c>
      <c r="K374" s="14">
        <v>46204</v>
      </c>
      <c r="L374" s="14" t="s">
        <v>190</v>
      </c>
      <c r="M374" s="3">
        <v>971.66666666666663</v>
      </c>
      <c r="N374" s="4">
        <v>0.21336727476165107</v>
      </c>
      <c r="O374" s="5" t="s">
        <v>157</v>
      </c>
      <c r="P374" s="5" t="s">
        <v>12</v>
      </c>
      <c r="Q374" s="5" t="s">
        <v>158</v>
      </c>
      <c r="R374" s="2"/>
      <c r="S374" s="5" t="s">
        <v>126</v>
      </c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 spans="2:33" hidden="1" x14ac:dyDescent="0.35">
      <c r="B375" s="5" t="s">
        <v>21</v>
      </c>
      <c r="C375" s="1">
        <v>489</v>
      </c>
      <c r="D375" s="5" t="s">
        <v>19</v>
      </c>
      <c r="E375" s="5" t="s">
        <v>85</v>
      </c>
      <c r="F375" s="6">
        <v>44.53</v>
      </c>
      <c r="G375" s="1">
        <v>43.49</v>
      </c>
      <c r="H375" s="2">
        <v>46091</v>
      </c>
      <c r="I375" s="15">
        <f ca="1">TODAY()-Base_Relatório[[#This Row],[Plantio]]</f>
        <v>148</v>
      </c>
      <c r="K375" s="14">
        <v>46211</v>
      </c>
      <c r="L375" s="14" t="s">
        <v>190</v>
      </c>
      <c r="M375" s="3">
        <v>1065.625</v>
      </c>
      <c r="N375" s="4"/>
      <c r="O375" s="5" t="s">
        <v>21</v>
      </c>
      <c r="P375" s="5" t="s">
        <v>12</v>
      </c>
      <c r="Q375" s="5" t="s">
        <v>21</v>
      </c>
      <c r="R375" s="2"/>
      <c r="S375" s="5" t="s">
        <v>126</v>
      </c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 spans="2:33" hidden="1" x14ac:dyDescent="0.35">
      <c r="B376" s="5" t="s">
        <v>21</v>
      </c>
      <c r="C376" s="1">
        <v>489</v>
      </c>
      <c r="D376" s="5" t="s">
        <v>19</v>
      </c>
      <c r="E376" s="5" t="s">
        <v>40</v>
      </c>
      <c r="F376" s="6">
        <v>33.96</v>
      </c>
      <c r="G376" s="1">
        <v>31.84</v>
      </c>
      <c r="H376" s="2">
        <v>46083</v>
      </c>
      <c r="I376" s="15">
        <f ca="1">TODAY()-Base_Relatório[[#This Row],[Plantio]]</f>
        <v>156</v>
      </c>
      <c r="K376" s="14">
        <v>46203</v>
      </c>
      <c r="L376" s="14" t="s">
        <v>190</v>
      </c>
      <c r="M376" s="3">
        <v>1052.0833333333333</v>
      </c>
      <c r="N376" s="4">
        <v>0.29344594091326837</v>
      </c>
      <c r="O376" s="5" t="s">
        <v>159</v>
      </c>
      <c r="P376" s="5" t="s">
        <v>12</v>
      </c>
      <c r="Q376" s="5" t="s">
        <v>158</v>
      </c>
      <c r="R376" s="2"/>
      <c r="S376" s="5" t="s">
        <v>126</v>
      </c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 spans="2:33" hidden="1" x14ac:dyDescent="0.35">
      <c r="B377" s="5" t="s">
        <v>21</v>
      </c>
      <c r="C377" s="1">
        <v>489</v>
      </c>
      <c r="D377" s="5" t="s">
        <v>19</v>
      </c>
      <c r="E377" s="5" t="s">
        <v>41</v>
      </c>
      <c r="F377" s="6">
        <v>39.450000000000003</v>
      </c>
      <c r="G377" s="1">
        <v>36.44</v>
      </c>
      <c r="H377" s="2">
        <v>46087</v>
      </c>
      <c r="I377" s="15">
        <f ca="1">TODAY()-Base_Relatório[[#This Row],[Plantio]]</f>
        <v>152</v>
      </c>
      <c r="K377" s="14">
        <v>46207</v>
      </c>
      <c r="L377" s="14" t="s">
        <v>190</v>
      </c>
      <c r="M377" s="3">
        <v>1028.5714285714287</v>
      </c>
      <c r="N377" s="4">
        <v>0.24427490077257921</v>
      </c>
      <c r="O377" s="5" t="s">
        <v>157</v>
      </c>
      <c r="P377" s="5" t="s">
        <v>12</v>
      </c>
      <c r="Q377" s="5" t="s">
        <v>158</v>
      </c>
      <c r="R377" s="2"/>
      <c r="S377" s="5" t="s">
        <v>126</v>
      </c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 spans="2:33" hidden="1" x14ac:dyDescent="0.35">
      <c r="B378" s="5" t="s">
        <v>21</v>
      </c>
      <c r="C378" s="1">
        <v>489</v>
      </c>
      <c r="D378" s="5" t="s">
        <v>19</v>
      </c>
      <c r="E378" s="5" t="s">
        <v>110</v>
      </c>
      <c r="F378" s="6">
        <v>1.79</v>
      </c>
      <c r="G378" s="1">
        <v>1.28</v>
      </c>
      <c r="H378" s="2">
        <v>46092</v>
      </c>
      <c r="I378" s="15">
        <f ca="1">TODAY()-Base_Relatório[[#This Row],[Plantio]]</f>
        <v>147</v>
      </c>
      <c r="K378" s="14">
        <v>46212</v>
      </c>
      <c r="L378" s="14" t="s">
        <v>190</v>
      </c>
      <c r="M378" s="3">
        <v>1008.3333333333334</v>
      </c>
      <c r="N378" s="4">
        <v>0.37443929895568112</v>
      </c>
      <c r="O378" s="5" t="s">
        <v>162</v>
      </c>
      <c r="P378" s="5" t="s">
        <v>12</v>
      </c>
      <c r="Q378" s="5" t="s">
        <v>158</v>
      </c>
      <c r="R378" s="2"/>
      <c r="S378" s="5" t="s">
        <v>126</v>
      </c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 spans="2:33" hidden="1" x14ac:dyDescent="0.35">
      <c r="B379" s="5" t="s">
        <v>21</v>
      </c>
      <c r="C379" s="1">
        <v>489</v>
      </c>
      <c r="D379" s="5" t="s">
        <v>19</v>
      </c>
      <c r="E379" s="5" t="s">
        <v>42</v>
      </c>
      <c r="F379" s="6">
        <v>27.49</v>
      </c>
      <c r="G379" s="1">
        <v>26.42</v>
      </c>
      <c r="H379" s="2">
        <v>46070</v>
      </c>
      <c r="I379" s="15">
        <f ca="1">TODAY()-Base_Relatório[[#This Row],[Plantio]]</f>
        <v>169</v>
      </c>
      <c r="K379" s="14">
        <v>46190</v>
      </c>
      <c r="L379" s="14" t="s">
        <v>190</v>
      </c>
      <c r="M379" s="3">
        <v>985</v>
      </c>
      <c r="N379" s="4">
        <v>0.26250774351415362</v>
      </c>
      <c r="O379" s="5" t="s">
        <v>159</v>
      </c>
      <c r="P379" s="5" t="s">
        <v>12</v>
      </c>
      <c r="Q379" s="5" t="s">
        <v>158</v>
      </c>
      <c r="R379" s="2"/>
      <c r="S379" s="5" t="s">
        <v>126</v>
      </c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 spans="2:33" hidden="1" x14ac:dyDescent="0.35">
      <c r="B380" s="5" t="s">
        <v>21</v>
      </c>
      <c r="C380" s="1">
        <v>489</v>
      </c>
      <c r="D380" s="5" t="s">
        <v>19</v>
      </c>
      <c r="E380" s="5" t="s">
        <v>61</v>
      </c>
      <c r="F380" s="6">
        <v>6.28</v>
      </c>
      <c r="G380" s="1">
        <v>6.01</v>
      </c>
      <c r="H380" s="2">
        <v>46057</v>
      </c>
      <c r="I380" s="15">
        <f ca="1">TODAY()-Base_Relatório[[#This Row],[Plantio]]</f>
        <v>182</v>
      </c>
      <c r="K380" s="14">
        <v>46177</v>
      </c>
      <c r="L380" s="14" t="s">
        <v>190</v>
      </c>
      <c r="M380" s="3">
        <v>912.5</v>
      </c>
      <c r="N380" s="4">
        <v>0.24029581111268783</v>
      </c>
      <c r="O380" s="5" t="s">
        <v>157</v>
      </c>
      <c r="P380" s="5" t="s">
        <v>100</v>
      </c>
      <c r="Q380" s="5" t="s">
        <v>158</v>
      </c>
      <c r="R380" s="2"/>
      <c r="S380" s="5" t="s">
        <v>126</v>
      </c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 spans="2:33" x14ac:dyDescent="0.35">
      <c r="B381" s="5" t="s">
        <v>21</v>
      </c>
      <c r="C381" s="1">
        <v>495</v>
      </c>
      <c r="D381" s="5" t="s">
        <v>112</v>
      </c>
      <c r="E381" s="5" t="s">
        <v>17</v>
      </c>
      <c r="F381" s="6">
        <v>13.95</v>
      </c>
      <c r="H381" s="2">
        <v>46150</v>
      </c>
      <c r="I381" s="15">
        <f ca="1">TODAY()-Base_Relatório[[#This Row],[Plantio]]</f>
        <v>89</v>
      </c>
      <c r="K381" s="14">
        <v>46270</v>
      </c>
      <c r="L381" s="14" t="s">
        <v>189</v>
      </c>
      <c r="M381" s="3"/>
      <c r="N381" s="4"/>
      <c r="O381" s="5" t="s">
        <v>21</v>
      </c>
      <c r="P381" s="5" t="s">
        <v>21</v>
      </c>
      <c r="Q381" s="5" t="s">
        <v>21</v>
      </c>
      <c r="R381" s="2"/>
      <c r="S381" s="5" t="s">
        <v>127</v>
      </c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 spans="2:33" x14ac:dyDescent="0.35">
      <c r="B382" s="5" t="s">
        <v>21</v>
      </c>
      <c r="C382" s="1">
        <v>495</v>
      </c>
      <c r="D382" s="5" t="s">
        <v>112</v>
      </c>
      <c r="E382" s="5" t="s">
        <v>20</v>
      </c>
      <c r="F382" s="6">
        <v>6.54</v>
      </c>
      <c r="H382" s="2">
        <v>46153</v>
      </c>
      <c r="I382" s="15">
        <f ca="1">TODAY()-Base_Relatório[[#This Row],[Plantio]]</f>
        <v>86</v>
      </c>
      <c r="K382" s="14">
        <v>46273</v>
      </c>
      <c r="L382" s="14" t="s">
        <v>189</v>
      </c>
      <c r="M382" s="3"/>
      <c r="N382" s="4"/>
      <c r="O382" s="5" t="s">
        <v>21</v>
      </c>
      <c r="P382" s="5" t="s">
        <v>21</v>
      </c>
      <c r="Q382" s="5" t="s">
        <v>21</v>
      </c>
      <c r="R382" s="2"/>
      <c r="S382" s="5" t="s">
        <v>127</v>
      </c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 spans="2:33" x14ac:dyDescent="0.35">
      <c r="B383" s="5" t="s">
        <v>21</v>
      </c>
      <c r="C383" s="1">
        <v>495</v>
      </c>
      <c r="D383" s="5" t="s">
        <v>112</v>
      </c>
      <c r="E383" s="5" t="s">
        <v>22</v>
      </c>
      <c r="F383" s="6">
        <v>10.34</v>
      </c>
      <c r="H383" s="2">
        <v>46148</v>
      </c>
      <c r="I383" s="15">
        <f ca="1">TODAY()-Base_Relatório[[#This Row],[Plantio]]</f>
        <v>91</v>
      </c>
      <c r="K383" s="14">
        <v>46268</v>
      </c>
      <c r="L383" s="14" t="s">
        <v>189</v>
      </c>
      <c r="M383" s="3"/>
      <c r="N383" s="4"/>
      <c r="O383" s="5" t="s">
        <v>21</v>
      </c>
      <c r="P383" s="5" t="s">
        <v>21</v>
      </c>
      <c r="Q383" s="5" t="s">
        <v>21</v>
      </c>
      <c r="R383" s="2"/>
      <c r="S383" s="5" t="s">
        <v>127</v>
      </c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 spans="2:33" x14ac:dyDescent="0.35">
      <c r="B384" s="5" t="s">
        <v>21</v>
      </c>
      <c r="C384" s="1">
        <v>495</v>
      </c>
      <c r="D384" s="5" t="s">
        <v>112</v>
      </c>
      <c r="E384" s="5" t="s">
        <v>24</v>
      </c>
      <c r="F384" s="6">
        <v>6.02</v>
      </c>
      <c r="H384" s="2">
        <v>46157</v>
      </c>
      <c r="I384" s="15">
        <f ca="1">TODAY()-Base_Relatório[[#This Row],[Plantio]]</f>
        <v>82</v>
      </c>
      <c r="K384" s="14">
        <v>46277</v>
      </c>
      <c r="L384" s="14" t="s">
        <v>189</v>
      </c>
      <c r="M384" s="3"/>
      <c r="N384" s="4"/>
      <c r="O384" s="5" t="s">
        <v>21</v>
      </c>
      <c r="P384" s="5" t="s">
        <v>21</v>
      </c>
      <c r="Q384" s="5" t="s">
        <v>21</v>
      </c>
      <c r="R384" s="2"/>
      <c r="S384" s="5" t="s">
        <v>127</v>
      </c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 spans="2:33" x14ac:dyDescent="0.35">
      <c r="B385" s="5" t="s">
        <v>21</v>
      </c>
      <c r="C385" s="1">
        <v>495</v>
      </c>
      <c r="D385" s="5" t="s">
        <v>112</v>
      </c>
      <c r="E385" s="5" t="s">
        <v>54</v>
      </c>
      <c r="F385" s="6">
        <v>27.77</v>
      </c>
      <c r="H385" s="2">
        <v>46157</v>
      </c>
      <c r="I385" s="15">
        <f ca="1">TODAY()-Base_Relatório[[#This Row],[Plantio]]</f>
        <v>82</v>
      </c>
      <c r="K385" s="14">
        <v>46277</v>
      </c>
      <c r="L385" s="14" t="s">
        <v>189</v>
      </c>
      <c r="M385" s="3"/>
      <c r="N385" s="4"/>
      <c r="O385" s="5" t="s">
        <v>21</v>
      </c>
      <c r="P385" s="5" t="s">
        <v>21</v>
      </c>
      <c r="Q385" s="5" t="s">
        <v>21</v>
      </c>
      <c r="R385" s="2"/>
      <c r="S385" s="5" t="s">
        <v>127</v>
      </c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 spans="2:33" x14ac:dyDescent="0.35">
      <c r="B386" s="5" t="s">
        <v>21</v>
      </c>
      <c r="C386" s="1">
        <v>495</v>
      </c>
      <c r="D386" s="5" t="s">
        <v>112</v>
      </c>
      <c r="E386" s="5" t="s">
        <v>13</v>
      </c>
      <c r="F386" s="6">
        <v>28.58</v>
      </c>
      <c r="H386" s="2">
        <v>46153</v>
      </c>
      <c r="I386" s="15">
        <f ca="1">TODAY()-Base_Relatório[[#This Row],[Plantio]]</f>
        <v>86</v>
      </c>
      <c r="K386" s="14">
        <v>46273</v>
      </c>
      <c r="L386" s="14" t="s">
        <v>189</v>
      </c>
      <c r="M386" s="3"/>
      <c r="N386" s="4"/>
      <c r="O386" s="5" t="s">
        <v>21</v>
      </c>
      <c r="P386" s="5" t="s">
        <v>21</v>
      </c>
      <c r="Q386" s="5" t="s">
        <v>21</v>
      </c>
      <c r="R386" s="2"/>
      <c r="S386" s="5" t="s">
        <v>127</v>
      </c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 spans="2:33" x14ac:dyDescent="0.35">
      <c r="B387" s="5" t="s">
        <v>21</v>
      </c>
      <c r="C387" s="1">
        <v>495</v>
      </c>
      <c r="D387" s="5" t="s">
        <v>112</v>
      </c>
      <c r="E387" s="5" t="s">
        <v>55</v>
      </c>
      <c r="F387" s="6">
        <v>24.45</v>
      </c>
      <c r="H387" s="2">
        <v>46156</v>
      </c>
      <c r="I387" s="15">
        <f ca="1">TODAY()-Base_Relatório[[#This Row],[Plantio]]</f>
        <v>83</v>
      </c>
      <c r="K387" s="14">
        <v>46276</v>
      </c>
      <c r="L387" s="14" t="s">
        <v>189</v>
      </c>
      <c r="M387" s="3"/>
      <c r="N387" s="4"/>
      <c r="O387" s="5" t="s">
        <v>21</v>
      </c>
      <c r="P387" s="5" t="s">
        <v>21</v>
      </c>
      <c r="Q387" s="5" t="s">
        <v>21</v>
      </c>
      <c r="R387" s="2"/>
      <c r="S387" s="5" t="s">
        <v>127</v>
      </c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 spans="2:33" x14ac:dyDescent="0.35">
      <c r="B388" s="5" t="s">
        <v>21</v>
      </c>
      <c r="C388" s="1">
        <v>495</v>
      </c>
      <c r="D388" s="5" t="s">
        <v>112</v>
      </c>
      <c r="E388" s="5" t="s">
        <v>46</v>
      </c>
      <c r="F388" s="6">
        <v>20.73</v>
      </c>
      <c r="H388" s="2">
        <v>46147</v>
      </c>
      <c r="I388" s="15">
        <f ca="1">TODAY()-Base_Relatório[[#This Row],[Plantio]]</f>
        <v>92</v>
      </c>
      <c r="K388" s="14">
        <v>46267</v>
      </c>
      <c r="L388" s="14" t="s">
        <v>189</v>
      </c>
      <c r="M388" s="3"/>
      <c r="N388" s="4"/>
      <c r="O388" s="5" t="s">
        <v>21</v>
      </c>
      <c r="P388" s="5" t="s">
        <v>21</v>
      </c>
      <c r="Q388" s="5" t="s">
        <v>21</v>
      </c>
      <c r="R388" s="2"/>
      <c r="S388" s="5" t="s">
        <v>127</v>
      </c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 spans="2:33" x14ac:dyDescent="0.35">
      <c r="B389" s="5" t="s">
        <v>21</v>
      </c>
      <c r="C389" s="1">
        <v>495</v>
      </c>
      <c r="D389" s="5" t="s">
        <v>112</v>
      </c>
      <c r="E389" s="5" t="s">
        <v>56</v>
      </c>
      <c r="F389" s="6">
        <v>24.53</v>
      </c>
      <c r="H389" s="2">
        <v>46142</v>
      </c>
      <c r="I389" s="15">
        <f ca="1">TODAY()-Base_Relatório[[#This Row],[Plantio]]</f>
        <v>97</v>
      </c>
      <c r="K389" s="14">
        <v>46262</v>
      </c>
      <c r="L389" s="14" t="s">
        <v>189</v>
      </c>
      <c r="M389" s="3"/>
      <c r="N389" s="4"/>
      <c r="O389" s="5" t="s">
        <v>21</v>
      </c>
      <c r="P389" s="5" t="s">
        <v>21</v>
      </c>
      <c r="Q389" s="5" t="s">
        <v>21</v>
      </c>
      <c r="R389" s="2"/>
      <c r="S389" s="5" t="s">
        <v>127</v>
      </c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 spans="2:33" x14ac:dyDescent="0.35">
      <c r="B390" s="5" t="s">
        <v>21</v>
      </c>
      <c r="C390" s="1">
        <v>495</v>
      </c>
      <c r="D390" s="5" t="s">
        <v>112</v>
      </c>
      <c r="E390" s="5" t="s">
        <v>28</v>
      </c>
      <c r="F390" s="6">
        <v>23.73</v>
      </c>
      <c r="H390" s="2">
        <v>46157</v>
      </c>
      <c r="I390" s="15">
        <f ca="1">TODAY()-Base_Relatório[[#This Row],[Plantio]]</f>
        <v>82</v>
      </c>
      <c r="K390" s="14">
        <v>46277</v>
      </c>
      <c r="L390" s="14" t="s">
        <v>189</v>
      </c>
      <c r="M390" s="3"/>
      <c r="N390" s="4"/>
      <c r="O390" s="5" t="s">
        <v>21</v>
      </c>
      <c r="P390" s="5" t="s">
        <v>21</v>
      </c>
      <c r="Q390" s="5" t="s">
        <v>21</v>
      </c>
      <c r="R390" s="2"/>
      <c r="S390" s="5" t="s">
        <v>127</v>
      </c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 spans="2:33" x14ac:dyDescent="0.35">
      <c r="B391" s="5" t="s">
        <v>21</v>
      </c>
      <c r="C391" s="1">
        <v>495</v>
      </c>
      <c r="D391" s="5" t="s">
        <v>112</v>
      </c>
      <c r="E391" s="5" t="s">
        <v>29</v>
      </c>
      <c r="F391" s="6">
        <v>42.66</v>
      </c>
      <c r="H391" s="2">
        <v>46133</v>
      </c>
      <c r="I391" s="15">
        <f ca="1">TODAY()-Base_Relatório[[#This Row],[Plantio]]</f>
        <v>106</v>
      </c>
      <c r="K391" s="14">
        <v>46253</v>
      </c>
      <c r="L391" s="14" t="s">
        <v>189</v>
      </c>
      <c r="M391" s="3"/>
      <c r="N391" s="4"/>
      <c r="O391" s="5" t="s">
        <v>21</v>
      </c>
      <c r="P391" s="5" t="s">
        <v>21</v>
      </c>
      <c r="Q391" s="5" t="s">
        <v>21</v>
      </c>
      <c r="R391" s="2"/>
      <c r="S391" s="5" t="s">
        <v>127</v>
      </c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 spans="2:33" hidden="1" x14ac:dyDescent="0.35">
      <c r="B392" s="5" t="s">
        <v>21</v>
      </c>
      <c r="C392" s="1">
        <v>55</v>
      </c>
      <c r="D392" s="5" t="s">
        <v>113</v>
      </c>
      <c r="E392" s="5" t="s">
        <v>17</v>
      </c>
      <c r="F392" s="6">
        <v>28.35</v>
      </c>
      <c r="H392" s="2">
        <v>46112</v>
      </c>
      <c r="I392" s="15">
        <f ca="1">TODAY()-Base_Relatório[[#This Row],[Plantio]]</f>
        <v>127</v>
      </c>
      <c r="K392" s="14">
        <v>46232</v>
      </c>
      <c r="L392" s="14" t="s">
        <v>190</v>
      </c>
      <c r="M392" s="3"/>
      <c r="N392" s="4"/>
      <c r="O392" s="5" t="s">
        <v>21</v>
      </c>
      <c r="P392" s="5" t="s">
        <v>21</v>
      </c>
      <c r="Q392" s="5" t="s">
        <v>21</v>
      </c>
      <c r="R392" s="2"/>
      <c r="S392" s="5" t="s">
        <v>126</v>
      </c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 spans="2:33" hidden="1" x14ac:dyDescent="0.35">
      <c r="B393" s="5" t="s">
        <v>21</v>
      </c>
      <c r="C393" s="1">
        <v>55</v>
      </c>
      <c r="D393" s="5" t="s">
        <v>113</v>
      </c>
      <c r="E393" s="5" t="s">
        <v>20</v>
      </c>
      <c r="F393" s="6">
        <v>30.78</v>
      </c>
      <c r="H393" s="2">
        <v>46129</v>
      </c>
      <c r="I393" s="15">
        <f ca="1">TODAY()-Base_Relatório[[#This Row],[Plantio]]</f>
        <v>110</v>
      </c>
      <c r="K393" s="14">
        <v>46249</v>
      </c>
      <c r="L393" s="14" t="s">
        <v>189</v>
      </c>
      <c r="M393" s="3"/>
      <c r="N393" s="4"/>
      <c r="O393" s="5" t="s">
        <v>21</v>
      </c>
      <c r="P393" s="5" t="s">
        <v>21</v>
      </c>
      <c r="Q393" s="5" t="s">
        <v>21</v>
      </c>
      <c r="R393" s="2"/>
      <c r="S393" s="5" t="s">
        <v>126</v>
      </c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 spans="2:33" hidden="1" x14ac:dyDescent="0.35">
      <c r="B394" s="5" t="s">
        <v>21</v>
      </c>
      <c r="C394" s="1">
        <v>55</v>
      </c>
      <c r="D394" s="5" t="s">
        <v>113</v>
      </c>
      <c r="E394" s="5" t="s">
        <v>22</v>
      </c>
      <c r="F394" s="6">
        <v>11.91</v>
      </c>
      <c r="H394" s="2">
        <v>46132</v>
      </c>
      <c r="I394" s="15">
        <f ca="1">TODAY()-Base_Relatório[[#This Row],[Plantio]]</f>
        <v>107</v>
      </c>
      <c r="K394" s="14">
        <v>46252</v>
      </c>
      <c r="L394" s="14" t="s">
        <v>189</v>
      </c>
      <c r="M394" s="3"/>
      <c r="N394" s="4"/>
      <c r="O394" s="5" t="s">
        <v>21</v>
      </c>
      <c r="P394" s="5" t="s">
        <v>21</v>
      </c>
      <c r="Q394" s="5" t="s">
        <v>21</v>
      </c>
      <c r="R394" s="2"/>
      <c r="S394" s="5" t="s">
        <v>126</v>
      </c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 spans="2:33" hidden="1" x14ac:dyDescent="0.35">
      <c r="B395" s="5" t="s">
        <v>21</v>
      </c>
      <c r="C395" s="1">
        <v>55</v>
      </c>
      <c r="D395" s="5" t="s">
        <v>113</v>
      </c>
      <c r="E395" s="5" t="s">
        <v>114</v>
      </c>
      <c r="F395" s="6">
        <v>12.38</v>
      </c>
      <c r="H395" s="2">
        <v>46132</v>
      </c>
      <c r="I395" s="15">
        <f ca="1">TODAY()-Base_Relatório[[#This Row],[Plantio]]</f>
        <v>107</v>
      </c>
      <c r="K395" s="14">
        <v>46252</v>
      </c>
      <c r="L395" s="14" t="s">
        <v>189</v>
      </c>
      <c r="M395" s="3"/>
      <c r="N395" s="4"/>
      <c r="O395" s="5" t="s">
        <v>21</v>
      </c>
      <c r="P395" s="5" t="s">
        <v>21</v>
      </c>
      <c r="Q395" s="5" t="s">
        <v>21</v>
      </c>
      <c r="R395" s="2"/>
      <c r="S395" s="5" t="s">
        <v>126</v>
      </c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 spans="2:33" hidden="1" x14ac:dyDescent="0.35">
      <c r="B396" s="5" t="s">
        <v>21</v>
      </c>
      <c r="C396" s="1">
        <v>55</v>
      </c>
      <c r="D396" s="5" t="s">
        <v>113</v>
      </c>
      <c r="E396" s="5" t="s">
        <v>54</v>
      </c>
      <c r="F396" s="6">
        <v>40.65</v>
      </c>
      <c r="H396" s="2">
        <v>46114</v>
      </c>
      <c r="I396" s="15">
        <f ca="1">TODAY()-Base_Relatório[[#This Row],[Plantio]]</f>
        <v>125</v>
      </c>
      <c r="K396" s="14">
        <v>46234</v>
      </c>
      <c r="L396" s="14" t="s">
        <v>190</v>
      </c>
      <c r="M396" s="3"/>
      <c r="N396" s="4"/>
      <c r="O396" s="5" t="s">
        <v>21</v>
      </c>
      <c r="P396" s="5" t="s">
        <v>21</v>
      </c>
      <c r="Q396" s="5" t="s">
        <v>21</v>
      </c>
      <c r="R396" s="2"/>
      <c r="S396" s="5" t="s">
        <v>126</v>
      </c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 spans="2:33" hidden="1" x14ac:dyDescent="0.35">
      <c r="B397" s="5" t="s">
        <v>21</v>
      </c>
      <c r="C397" s="1">
        <v>55</v>
      </c>
      <c r="D397" s="5" t="s">
        <v>113</v>
      </c>
      <c r="E397" s="5" t="s">
        <v>13</v>
      </c>
      <c r="F397" s="6">
        <v>20.58</v>
      </c>
      <c r="H397" s="2">
        <v>46115</v>
      </c>
      <c r="I397" s="15">
        <f ca="1">TODAY()-Base_Relatório[[#This Row],[Plantio]]</f>
        <v>124</v>
      </c>
      <c r="K397" s="14">
        <v>46235</v>
      </c>
      <c r="L397" s="14" t="s">
        <v>190</v>
      </c>
      <c r="M397" s="3"/>
      <c r="N397" s="4"/>
      <c r="O397" s="5" t="s">
        <v>21</v>
      </c>
      <c r="P397" s="5" t="s">
        <v>21</v>
      </c>
      <c r="Q397" s="5" t="s">
        <v>21</v>
      </c>
      <c r="R397" s="2"/>
      <c r="S397" s="5" t="s">
        <v>126</v>
      </c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 spans="2:33" hidden="1" x14ac:dyDescent="0.35">
      <c r="B398" s="5" t="s">
        <v>21</v>
      </c>
      <c r="C398" s="1">
        <v>55</v>
      </c>
      <c r="D398" s="5" t="s">
        <v>113</v>
      </c>
      <c r="E398" s="5" t="s">
        <v>55</v>
      </c>
      <c r="F398" s="6">
        <v>17.32</v>
      </c>
      <c r="H398" s="2">
        <v>46118</v>
      </c>
      <c r="I398" s="15">
        <f ca="1">TODAY()-Base_Relatório[[#This Row],[Plantio]]</f>
        <v>121</v>
      </c>
      <c r="K398" s="14">
        <v>46238</v>
      </c>
      <c r="L398" s="14" t="s">
        <v>189</v>
      </c>
      <c r="M398" s="3"/>
      <c r="N398" s="4"/>
      <c r="O398" s="5" t="s">
        <v>21</v>
      </c>
      <c r="P398" s="5" t="s">
        <v>21</v>
      </c>
      <c r="Q398" s="5" t="s">
        <v>21</v>
      </c>
      <c r="R398" s="2"/>
      <c r="S398" s="5" t="s">
        <v>126</v>
      </c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 spans="2:33" hidden="1" x14ac:dyDescent="0.35">
      <c r="B399" s="5" t="s">
        <v>21</v>
      </c>
      <c r="C399" s="1">
        <v>55</v>
      </c>
      <c r="D399" s="5" t="s">
        <v>113</v>
      </c>
      <c r="E399" s="5" t="s">
        <v>46</v>
      </c>
      <c r="F399" s="6">
        <v>20.46</v>
      </c>
      <c r="H399" s="2">
        <v>46119</v>
      </c>
      <c r="I399" s="15">
        <f ca="1">TODAY()-Base_Relatório[[#This Row],[Plantio]]</f>
        <v>120</v>
      </c>
      <c r="K399" s="14">
        <v>46239</v>
      </c>
      <c r="L399" s="14" t="s">
        <v>189</v>
      </c>
      <c r="M399" s="3"/>
      <c r="N399" s="4"/>
      <c r="O399" s="5" t="s">
        <v>21</v>
      </c>
      <c r="P399" s="5" t="s">
        <v>21</v>
      </c>
      <c r="Q399" s="5" t="s">
        <v>21</v>
      </c>
      <c r="R399" s="2"/>
      <c r="S399" s="5" t="s">
        <v>126</v>
      </c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 spans="2:33" hidden="1" x14ac:dyDescent="0.35">
      <c r="B400" s="5" t="s">
        <v>21</v>
      </c>
      <c r="C400" s="1">
        <v>55</v>
      </c>
      <c r="D400" s="5" t="s">
        <v>113</v>
      </c>
      <c r="E400" s="5" t="s">
        <v>56</v>
      </c>
      <c r="F400" s="6">
        <v>14.63</v>
      </c>
      <c r="H400" s="2">
        <v>46120</v>
      </c>
      <c r="I400" s="15">
        <f ca="1">TODAY()-Base_Relatório[[#This Row],[Plantio]]</f>
        <v>119</v>
      </c>
      <c r="K400" s="14">
        <v>46240</v>
      </c>
      <c r="L400" s="14" t="s">
        <v>189</v>
      </c>
      <c r="M400" s="3"/>
      <c r="N400" s="4"/>
      <c r="O400" s="5" t="s">
        <v>21</v>
      </c>
      <c r="P400" s="5" t="s">
        <v>21</v>
      </c>
      <c r="Q400" s="5" t="s">
        <v>21</v>
      </c>
      <c r="R400" s="2"/>
      <c r="S400" s="5" t="s">
        <v>126</v>
      </c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 spans="2:33" hidden="1" x14ac:dyDescent="0.35">
      <c r="B401" s="5" t="s">
        <v>21</v>
      </c>
      <c r="C401" s="1">
        <v>55</v>
      </c>
      <c r="D401" s="5" t="s">
        <v>113</v>
      </c>
      <c r="E401" s="5" t="s">
        <v>27</v>
      </c>
      <c r="F401" s="6">
        <v>23.24</v>
      </c>
      <c r="H401" s="2">
        <v>46125</v>
      </c>
      <c r="I401" s="15">
        <f ca="1">TODAY()-Base_Relatório[[#This Row],[Plantio]]</f>
        <v>114</v>
      </c>
      <c r="K401" s="14">
        <v>46245</v>
      </c>
      <c r="L401" s="14" t="s">
        <v>189</v>
      </c>
      <c r="M401" s="3"/>
      <c r="N401" s="4"/>
      <c r="O401" s="5" t="s">
        <v>21</v>
      </c>
      <c r="P401" s="5" t="s">
        <v>21</v>
      </c>
      <c r="Q401" s="5" t="s">
        <v>21</v>
      </c>
      <c r="R401" s="2"/>
      <c r="S401" s="5" t="s">
        <v>126</v>
      </c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 spans="2:33" hidden="1" x14ac:dyDescent="0.35">
      <c r="B402" s="5" t="s">
        <v>21</v>
      </c>
      <c r="C402" s="1">
        <v>55</v>
      </c>
      <c r="D402" s="5" t="s">
        <v>113</v>
      </c>
      <c r="E402" s="5" t="s">
        <v>28</v>
      </c>
      <c r="F402" s="6">
        <v>53.89</v>
      </c>
      <c r="H402" s="2">
        <v>46122</v>
      </c>
      <c r="I402" s="15">
        <f ca="1">TODAY()-Base_Relatório[[#This Row],[Plantio]]</f>
        <v>117</v>
      </c>
      <c r="K402" s="14">
        <v>46242</v>
      </c>
      <c r="L402" s="14" t="s">
        <v>189</v>
      </c>
      <c r="M402" s="3"/>
      <c r="N402" s="4"/>
      <c r="O402" s="5" t="s">
        <v>21</v>
      </c>
      <c r="P402" s="5" t="s">
        <v>21</v>
      </c>
      <c r="Q402" s="5" t="s">
        <v>21</v>
      </c>
      <c r="R402" s="2"/>
      <c r="S402" s="5" t="s">
        <v>126</v>
      </c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 spans="2:33" hidden="1" x14ac:dyDescent="0.35">
      <c r="B403" s="5" t="s">
        <v>21</v>
      </c>
      <c r="C403" s="1">
        <v>55</v>
      </c>
      <c r="D403" s="5" t="s">
        <v>113</v>
      </c>
      <c r="E403" s="5" t="s">
        <v>29</v>
      </c>
      <c r="F403" s="6">
        <v>53.65</v>
      </c>
      <c r="H403" s="2">
        <v>46128</v>
      </c>
      <c r="I403" s="15">
        <f ca="1">TODAY()-Base_Relatório[[#This Row],[Plantio]]</f>
        <v>111</v>
      </c>
      <c r="K403" s="14">
        <v>46248</v>
      </c>
      <c r="L403" s="14" t="s">
        <v>189</v>
      </c>
      <c r="M403" s="3"/>
      <c r="N403" s="4"/>
      <c r="O403" s="5" t="s">
        <v>21</v>
      </c>
      <c r="P403" s="5" t="s">
        <v>21</v>
      </c>
      <c r="Q403" s="5" t="s">
        <v>21</v>
      </c>
      <c r="R403" s="2"/>
      <c r="S403" s="5" t="s">
        <v>126</v>
      </c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 spans="2:33" hidden="1" x14ac:dyDescent="0.35">
      <c r="B404" s="5" t="s">
        <v>21</v>
      </c>
      <c r="C404" s="1">
        <v>591</v>
      </c>
      <c r="D404" s="5" t="s">
        <v>115</v>
      </c>
      <c r="E404" s="5" t="s">
        <v>24</v>
      </c>
      <c r="F404" s="6">
        <v>52.12</v>
      </c>
      <c r="H404" s="2">
        <v>46125</v>
      </c>
      <c r="I404" s="15">
        <f ca="1">TODAY()-Base_Relatório[[#This Row],[Plantio]]</f>
        <v>114</v>
      </c>
      <c r="K404" s="14">
        <v>46245</v>
      </c>
      <c r="L404" s="14" t="s">
        <v>189</v>
      </c>
      <c r="M404" s="3"/>
      <c r="N404" s="4"/>
      <c r="O404" s="5" t="s">
        <v>21</v>
      </c>
      <c r="P404" s="5" t="s">
        <v>21</v>
      </c>
      <c r="Q404" s="5" t="s">
        <v>21</v>
      </c>
      <c r="R404" s="2"/>
      <c r="S404" s="5" t="s">
        <v>126</v>
      </c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 spans="2:33" hidden="1" x14ac:dyDescent="0.35">
      <c r="B405" s="5" t="s">
        <v>21</v>
      </c>
      <c r="C405" s="1">
        <v>591</v>
      </c>
      <c r="D405" s="5" t="s">
        <v>115</v>
      </c>
      <c r="E405" s="5" t="s">
        <v>57</v>
      </c>
      <c r="F405" s="6">
        <v>60.05</v>
      </c>
      <c r="H405" s="2">
        <v>46133</v>
      </c>
      <c r="I405" s="15">
        <f ca="1">TODAY()-Base_Relatório[[#This Row],[Plantio]]</f>
        <v>106</v>
      </c>
      <c r="K405" s="14">
        <v>46253</v>
      </c>
      <c r="L405" s="14" t="s">
        <v>189</v>
      </c>
      <c r="M405" s="3"/>
      <c r="N405" s="4"/>
      <c r="O405" s="5" t="s">
        <v>21</v>
      </c>
      <c r="P405" s="5" t="s">
        <v>21</v>
      </c>
      <c r="Q405" s="5" t="s">
        <v>21</v>
      </c>
      <c r="R405" s="2"/>
      <c r="S405" s="5" t="s">
        <v>126</v>
      </c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 spans="2:33" hidden="1" x14ac:dyDescent="0.35">
      <c r="B406" s="5" t="s">
        <v>21</v>
      </c>
      <c r="C406" s="1">
        <v>591</v>
      </c>
      <c r="D406" s="5" t="s">
        <v>115</v>
      </c>
      <c r="E406" s="5" t="s">
        <v>33</v>
      </c>
      <c r="F406" s="6">
        <v>42.56</v>
      </c>
      <c r="H406" s="2">
        <v>46122</v>
      </c>
      <c r="I406" s="15">
        <f ca="1">TODAY()-Base_Relatório[[#This Row],[Plantio]]</f>
        <v>117</v>
      </c>
      <c r="K406" s="14">
        <v>46242</v>
      </c>
      <c r="L406" s="14" t="s">
        <v>189</v>
      </c>
      <c r="M406" s="3"/>
      <c r="N406" s="4"/>
      <c r="O406" s="5" t="s">
        <v>21</v>
      </c>
      <c r="P406" s="5" t="s">
        <v>21</v>
      </c>
      <c r="Q406" s="5" t="s">
        <v>21</v>
      </c>
      <c r="R406" s="2"/>
      <c r="S406" s="5" t="s">
        <v>126</v>
      </c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 spans="2:33" hidden="1" x14ac:dyDescent="0.35">
      <c r="B407" s="5" t="s">
        <v>21</v>
      </c>
      <c r="C407" s="1">
        <v>591</v>
      </c>
      <c r="D407" s="5" t="s">
        <v>115</v>
      </c>
      <c r="E407" s="5" t="s">
        <v>85</v>
      </c>
      <c r="F407" s="6">
        <v>48.57</v>
      </c>
      <c r="H407" s="2">
        <v>46127</v>
      </c>
      <c r="I407" s="15">
        <f ca="1">TODAY()-Base_Relatório[[#This Row],[Plantio]]</f>
        <v>112</v>
      </c>
      <c r="K407" s="14">
        <v>46247</v>
      </c>
      <c r="L407" s="14" t="s">
        <v>189</v>
      </c>
      <c r="M407" s="3"/>
      <c r="N407" s="4"/>
      <c r="O407" s="5" t="s">
        <v>21</v>
      </c>
      <c r="P407" s="5" t="s">
        <v>21</v>
      </c>
      <c r="Q407" s="5" t="s">
        <v>21</v>
      </c>
      <c r="R407" s="2"/>
      <c r="S407" s="5" t="s">
        <v>126</v>
      </c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 spans="2:33" hidden="1" x14ac:dyDescent="0.35">
      <c r="B408" s="5" t="s">
        <v>21</v>
      </c>
      <c r="C408" s="1">
        <v>591</v>
      </c>
      <c r="D408" s="5" t="s">
        <v>115</v>
      </c>
      <c r="E408" s="5" t="s">
        <v>36</v>
      </c>
      <c r="F408" s="6">
        <v>31.06</v>
      </c>
      <c r="H408" s="2">
        <v>46126</v>
      </c>
      <c r="I408" s="15">
        <f ca="1">TODAY()-Base_Relatório[[#This Row],[Plantio]]</f>
        <v>113</v>
      </c>
      <c r="K408" s="14">
        <v>46246</v>
      </c>
      <c r="L408" s="14" t="s">
        <v>189</v>
      </c>
      <c r="M408" s="3"/>
      <c r="N408" s="4"/>
      <c r="O408" s="5" t="s">
        <v>21</v>
      </c>
      <c r="P408" s="5" t="s">
        <v>21</v>
      </c>
      <c r="Q408" s="5" t="s">
        <v>21</v>
      </c>
      <c r="R408" s="2"/>
      <c r="S408" s="5" t="s">
        <v>126</v>
      </c>
    </row>
    <row r="409" spans="2:33" hidden="1" x14ac:dyDescent="0.35">
      <c r="B409" s="5" t="s">
        <v>21</v>
      </c>
      <c r="C409" s="1">
        <v>591</v>
      </c>
      <c r="D409" s="5" t="s">
        <v>115</v>
      </c>
      <c r="E409" s="5" t="s">
        <v>99</v>
      </c>
      <c r="F409" s="6">
        <v>30.6</v>
      </c>
      <c r="H409" s="2">
        <v>46128</v>
      </c>
      <c r="I409" s="15">
        <f ca="1">TODAY()-Base_Relatório[[#This Row],[Plantio]]</f>
        <v>111</v>
      </c>
      <c r="K409" s="14">
        <v>46248</v>
      </c>
      <c r="L409" s="14" t="s">
        <v>189</v>
      </c>
      <c r="M409" s="3"/>
      <c r="N409" s="4"/>
      <c r="O409" s="5" t="s">
        <v>21</v>
      </c>
      <c r="P409" s="5" t="s">
        <v>21</v>
      </c>
      <c r="Q409" s="5" t="s">
        <v>21</v>
      </c>
      <c r="R409" s="2"/>
      <c r="S409" s="5" t="s">
        <v>126</v>
      </c>
    </row>
    <row r="410" spans="2:33" hidden="1" x14ac:dyDescent="0.35">
      <c r="B410" s="5" t="s">
        <v>21</v>
      </c>
      <c r="C410" s="1">
        <v>591</v>
      </c>
      <c r="D410" s="5" t="s">
        <v>115</v>
      </c>
      <c r="E410" s="5" t="s">
        <v>116</v>
      </c>
      <c r="F410" s="6">
        <v>3</v>
      </c>
      <c r="H410" s="2">
        <v>46133</v>
      </c>
      <c r="I410" s="15">
        <f ca="1">TODAY()-Base_Relatório[[#This Row],[Plantio]]</f>
        <v>106</v>
      </c>
      <c r="K410" s="14">
        <v>46253</v>
      </c>
      <c r="L410" s="14" t="s">
        <v>189</v>
      </c>
      <c r="M410" s="3"/>
      <c r="N410" s="4"/>
      <c r="O410" s="5" t="s">
        <v>21</v>
      </c>
      <c r="P410" s="5" t="s">
        <v>21</v>
      </c>
      <c r="Q410" s="5" t="s">
        <v>21</v>
      </c>
      <c r="R410" s="2"/>
      <c r="S410" s="5" t="s">
        <v>126</v>
      </c>
    </row>
    <row r="411" spans="2:33" hidden="1" x14ac:dyDescent="0.35">
      <c r="B411" s="5" t="s">
        <v>21</v>
      </c>
      <c r="C411" s="1">
        <v>591</v>
      </c>
      <c r="D411" s="5" t="s">
        <v>115</v>
      </c>
      <c r="E411" s="5" t="s">
        <v>40</v>
      </c>
      <c r="F411" s="6">
        <v>44.14</v>
      </c>
      <c r="H411" s="2">
        <v>46140</v>
      </c>
      <c r="I411" s="15">
        <f ca="1">TODAY()-Base_Relatório[[#This Row],[Plantio]]</f>
        <v>99</v>
      </c>
      <c r="K411" s="14">
        <v>46260</v>
      </c>
      <c r="L411" s="14" t="s">
        <v>189</v>
      </c>
      <c r="M411" s="3"/>
      <c r="N411" s="4"/>
      <c r="O411" s="5" t="s">
        <v>21</v>
      </c>
      <c r="P411" s="5" t="s">
        <v>21</v>
      </c>
      <c r="Q411" s="5" t="s">
        <v>21</v>
      </c>
      <c r="R411" s="2"/>
      <c r="S411" s="5" t="s">
        <v>126</v>
      </c>
    </row>
    <row r="412" spans="2:33" hidden="1" x14ac:dyDescent="0.35">
      <c r="B412" s="5" t="s">
        <v>21</v>
      </c>
      <c r="C412" s="1">
        <v>591</v>
      </c>
      <c r="D412" s="5" t="s">
        <v>115</v>
      </c>
      <c r="E412" s="5" t="s">
        <v>41</v>
      </c>
      <c r="F412" s="6">
        <v>64.63</v>
      </c>
      <c r="H412" s="2">
        <v>46149</v>
      </c>
      <c r="I412" s="15">
        <f ca="1">TODAY()-Base_Relatório[[#This Row],[Plantio]]</f>
        <v>90</v>
      </c>
      <c r="K412" s="14">
        <v>46269</v>
      </c>
      <c r="L412" s="14" t="s">
        <v>189</v>
      </c>
      <c r="M412" s="3"/>
      <c r="N412" s="4"/>
      <c r="O412" s="5" t="s">
        <v>21</v>
      </c>
      <c r="P412" s="5" t="s">
        <v>21</v>
      </c>
      <c r="Q412" s="5" t="s">
        <v>21</v>
      </c>
      <c r="R412" s="2"/>
      <c r="S412" s="5" t="s">
        <v>126</v>
      </c>
    </row>
    <row r="413" spans="2:33" hidden="1" x14ac:dyDescent="0.35">
      <c r="B413" s="5" t="s">
        <v>21</v>
      </c>
      <c r="C413" s="1">
        <v>591</v>
      </c>
      <c r="D413" s="5" t="s">
        <v>115</v>
      </c>
      <c r="E413" s="5" t="s">
        <v>111</v>
      </c>
      <c r="F413" s="6">
        <v>31.98</v>
      </c>
      <c r="H413" s="2">
        <v>46153</v>
      </c>
      <c r="I413" s="15">
        <f ca="1">TODAY()-Base_Relatório[[#This Row],[Plantio]]</f>
        <v>86</v>
      </c>
      <c r="K413" s="14">
        <v>46273</v>
      </c>
      <c r="L413" s="14" t="s">
        <v>189</v>
      </c>
      <c r="M413" s="3"/>
      <c r="N413" s="4"/>
      <c r="O413" s="5" t="s">
        <v>21</v>
      </c>
      <c r="P413" s="5" t="s">
        <v>21</v>
      </c>
      <c r="Q413" s="5" t="s">
        <v>21</v>
      </c>
      <c r="R413" s="2"/>
      <c r="S413" s="5" t="s">
        <v>126</v>
      </c>
    </row>
    <row r="414" spans="2:33" hidden="1" x14ac:dyDescent="0.35">
      <c r="B414" s="5" t="s">
        <v>21</v>
      </c>
      <c r="C414" s="1">
        <v>591</v>
      </c>
      <c r="D414" s="5" t="s">
        <v>115</v>
      </c>
      <c r="E414" s="5" t="s">
        <v>146</v>
      </c>
      <c r="F414" s="6">
        <v>33.96</v>
      </c>
      <c r="H414" s="2">
        <v>46139</v>
      </c>
      <c r="I414" s="15">
        <f ca="1">TODAY()-Base_Relatório[[#This Row],[Plantio]]</f>
        <v>100</v>
      </c>
      <c r="K414" s="14">
        <v>46259</v>
      </c>
      <c r="L414" s="14" t="s">
        <v>189</v>
      </c>
      <c r="M414" s="3"/>
      <c r="N414" s="4"/>
      <c r="O414" s="5" t="s">
        <v>21</v>
      </c>
      <c r="P414" s="5" t="s">
        <v>21</v>
      </c>
      <c r="Q414" s="5" t="s">
        <v>21</v>
      </c>
      <c r="R414" s="2"/>
      <c r="S414" s="5" t="s">
        <v>126</v>
      </c>
    </row>
    <row r="415" spans="2:33" hidden="1" x14ac:dyDescent="0.35">
      <c r="B415" s="5" t="s">
        <v>21</v>
      </c>
      <c r="C415" s="1">
        <v>729</v>
      </c>
      <c r="D415" s="5" t="s">
        <v>117</v>
      </c>
      <c r="E415" s="5" t="s">
        <v>17</v>
      </c>
      <c r="F415" s="6">
        <v>8.52</v>
      </c>
      <c r="H415" s="2">
        <v>46133</v>
      </c>
      <c r="I415" s="15">
        <f ca="1">TODAY()-Base_Relatório[[#This Row],[Plantio]]</f>
        <v>106</v>
      </c>
      <c r="K415" s="14">
        <v>46253</v>
      </c>
      <c r="L415" s="14" t="s">
        <v>189</v>
      </c>
      <c r="M415" s="3"/>
      <c r="N415" s="4"/>
      <c r="O415" s="5" t="s">
        <v>21</v>
      </c>
      <c r="P415" s="5" t="s">
        <v>21</v>
      </c>
      <c r="Q415" s="5" t="s">
        <v>21</v>
      </c>
      <c r="R415" s="2"/>
      <c r="S415" s="5" t="s">
        <v>128</v>
      </c>
    </row>
    <row r="416" spans="2:33" hidden="1" x14ac:dyDescent="0.35">
      <c r="B416" s="5" t="s">
        <v>21</v>
      </c>
      <c r="C416" s="1">
        <v>729</v>
      </c>
      <c r="D416" s="5" t="s">
        <v>117</v>
      </c>
      <c r="E416" s="5" t="s">
        <v>20</v>
      </c>
      <c r="F416" s="6">
        <v>10.85</v>
      </c>
      <c r="H416" s="2">
        <v>46128</v>
      </c>
      <c r="I416" s="15">
        <f ca="1">TODAY()-Base_Relatório[[#This Row],[Plantio]]</f>
        <v>111</v>
      </c>
      <c r="K416" s="14">
        <v>46248</v>
      </c>
      <c r="L416" s="14" t="s">
        <v>189</v>
      </c>
      <c r="M416" s="3"/>
      <c r="N416" s="4"/>
      <c r="O416" s="5" t="s">
        <v>21</v>
      </c>
      <c r="P416" s="5" t="s">
        <v>21</v>
      </c>
      <c r="Q416" s="5" t="s">
        <v>21</v>
      </c>
      <c r="R416" s="2"/>
      <c r="S416" s="5" t="s">
        <v>128</v>
      </c>
    </row>
    <row r="417" spans="2:19" hidden="1" x14ac:dyDescent="0.35">
      <c r="B417" s="5" t="s">
        <v>21</v>
      </c>
      <c r="C417" s="1">
        <v>729</v>
      </c>
      <c r="D417" s="5" t="s">
        <v>117</v>
      </c>
      <c r="E417" s="5" t="s">
        <v>22</v>
      </c>
      <c r="F417" s="6">
        <v>7.4</v>
      </c>
      <c r="H417" s="2">
        <v>46128</v>
      </c>
      <c r="I417" s="15">
        <f ca="1">TODAY()-Base_Relatório[[#This Row],[Plantio]]</f>
        <v>111</v>
      </c>
      <c r="K417" s="14">
        <v>46248</v>
      </c>
      <c r="L417" s="14" t="s">
        <v>189</v>
      </c>
      <c r="M417" s="3"/>
      <c r="N417" s="4"/>
      <c r="O417" s="5" t="s">
        <v>21</v>
      </c>
      <c r="P417" s="5" t="s">
        <v>21</v>
      </c>
      <c r="Q417" s="5" t="s">
        <v>21</v>
      </c>
      <c r="R417" s="2"/>
      <c r="S417" s="5" t="s">
        <v>128</v>
      </c>
    </row>
    <row r="418" spans="2:19" hidden="1" x14ac:dyDescent="0.35">
      <c r="B418" s="5" t="s">
        <v>21</v>
      </c>
      <c r="C418" s="1">
        <v>729</v>
      </c>
      <c r="D418" s="5" t="s">
        <v>117</v>
      </c>
      <c r="E418" s="5" t="s">
        <v>23</v>
      </c>
      <c r="F418" s="6">
        <v>10.47</v>
      </c>
      <c r="H418" s="2">
        <v>46129</v>
      </c>
      <c r="I418" s="15">
        <f ca="1">TODAY()-Base_Relatório[[#This Row],[Plantio]]</f>
        <v>110</v>
      </c>
      <c r="K418" s="14">
        <v>46249</v>
      </c>
      <c r="L418" s="14" t="s">
        <v>189</v>
      </c>
      <c r="M418" s="3"/>
      <c r="N418" s="4"/>
      <c r="O418" s="5" t="s">
        <v>21</v>
      </c>
      <c r="P418" s="5" t="s">
        <v>21</v>
      </c>
      <c r="Q418" s="5" t="s">
        <v>21</v>
      </c>
      <c r="R418" s="2"/>
      <c r="S418" s="5" t="s">
        <v>128</v>
      </c>
    </row>
    <row r="419" spans="2:19" hidden="1" x14ac:dyDescent="0.35">
      <c r="B419" s="5" t="s">
        <v>21</v>
      </c>
      <c r="C419" s="1">
        <v>729</v>
      </c>
      <c r="D419" s="5" t="s">
        <v>117</v>
      </c>
      <c r="E419" s="5" t="s">
        <v>24</v>
      </c>
      <c r="F419" s="6">
        <v>6.04</v>
      </c>
      <c r="H419" s="2">
        <v>46133</v>
      </c>
      <c r="I419" s="15">
        <f ca="1">TODAY()-Base_Relatório[[#This Row],[Plantio]]</f>
        <v>106</v>
      </c>
      <c r="K419" s="14">
        <v>46253</v>
      </c>
      <c r="L419" s="14" t="s">
        <v>189</v>
      </c>
      <c r="M419" s="3"/>
      <c r="N419" s="4"/>
      <c r="O419" s="5" t="s">
        <v>21</v>
      </c>
      <c r="P419" s="5" t="s">
        <v>21</v>
      </c>
      <c r="Q419" s="5" t="s">
        <v>21</v>
      </c>
      <c r="R419" s="2"/>
      <c r="S419" s="5" t="s">
        <v>128</v>
      </c>
    </row>
    <row r="420" spans="2:19" hidden="1" x14ac:dyDescent="0.35">
      <c r="B420" s="5" t="s">
        <v>21</v>
      </c>
      <c r="C420" s="1">
        <v>729</v>
      </c>
      <c r="D420" s="5" t="s">
        <v>117</v>
      </c>
      <c r="E420" s="5" t="s">
        <v>31</v>
      </c>
      <c r="F420" s="6">
        <v>6.26</v>
      </c>
      <c r="H420" s="2">
        <v>46133</v>
      </c>
      <c r="I420" s="15">
        <f ca="1">TODAY()-Base_Relatório[[#This Row],[Plantio]]</f>
        <v>106</v>
      </c>
      <c r="K420" s="14">
        <v>46253</v>
      </c>
      <c r="L420" s="14" t="s">
        <v>189</v>
      </c>
      <c r="M420" s="3"/>
      <c r="N420" s="4"/>
      <c r="O420" s="5" t="s">
        <v>21</v>
      </c>
      <c r="P420" s="5" t="s">
        <v>21</v>
      </c>
      <c r="Q420" s="5" t="s">
        <v>21</v>
      </c>
      <c r="R420" s="2"/>
      <c r="S420" s="5" t="s">
        <v>128</v>
      </c>
    </row>
    <row r="421" spans="2:19" hidden="1" x14ac:dyDescent="0.35">
      <c r="B421" s="5" t="s">
        <v>21</v>
      </c>
      <c r="C421" s="1">
        <v>729</v>
      </c>
      <c r="D421" s="5" t="s">
        <v>117</v>
      </c>
      <c r="E421" s="5" t="s">
        <v>11</v>
      </c>
      <c r="F421" s="6">
        <v>6.07</v>
      </c>
      <c r="H421" s="2">
        <v>46139</v>
      </c>
      <c r="I421" s="15">
        <f ca="1">TODAY()-Base_Relatório[[#This Row],[Plantio]]</f>
        <v>100</v>
      </c>
      <c r="K421" s="14">
        <v>46259</v>
      </c>
      <c r="L421" s="14" t="s">
        <v>189</v>
      </c>
      <c r="M421" s="3"/>
      <c r="N421" s="4"/>
      <c r="O421" s="5" t="s">
        <v>21</v>
      </c>
      <c r="P421" s="5" t="s">
        <v>21</v>
      </c>
      <c r="Q421" s="5" t="s">
        <v>21</v>
      </c>
      <c r="R421" s="2"/>
      <c r="S421" s="5" t="s">
        <v>128</v>
      </c>
    </row>
    <row r="422" spans="2:19" hidden="1" x14ac:dyDescent="0.35">
      <c r="B422" s="5" t="s">
        <v>21</v>
      </c>
      <c r="C422" s="1">
        <v>729</v>
      </c>
      <c r="D422" s="5" t="s">
        <v>117</v>
      </c>
      <c r="E422" s="5" t="s">
        <v>54</v>
      </c>
      <c r="F422" s="6">
        <v>3.49</v>
      </c>
      <c r="H422" s="2">
        <v>46127</v>
      </c>
      <c r="I422" s="15">
        <f ca="1">TODAY()-Base_Relatório[[#This Row],[Plantio]]</f>
        <v>112</v>
      </c>
      <c r="K422" s="14">
        <v>46247</v>
      </c>
      <c r="L422" s="14" t="s">
        <v>189</v>
      </c>
      <c r="M422" s="3"/>
      <c r="N422" s="4"/>
      <c r="O422" s="5" t="s">
        <v>21</v>
      </c>
      <c r="P422" s="5" t="s">
        <v>21</v>
      </c>
      <c r="Q422" s="5" t="s">
        <v>21</v>
      </c>
      <c r="R422" s="2"/>
      <c r="S422" s="5" t="s">
        <v>128</v>
      </c>
    </row>
    <row r="423" spans="2:19" hidden="1" x14ac:dyDescent="0.35">
      <c r="B423" s="5" t="s">
        <v>21</v>
      </c>
      <c r="C423" s="1">
        <v>729</v>
      </c>
      <c r="D423" s="5" t="s">
        <v>117</v>
      </c>
      <c r="E423" s="5" t="s">
        <v>13</v>
      </c>
      <c r="F423" s="6">
        <v>6.04</v>
      </c>
      <c r="H423" s="2">
        <v>46126</v>
      </c>
      <c r="I423" s="15">
        <f ca="1">TODAY()-Base_Relatório[[#This Row],[Plantio]]</f>
        <v>113</v>
      </c>
      <c r="K423" s="14">
        <v>46246</v>
      </c>
      <c r="L423" s="14" t="s">
        <v>189</v>
      </c>
      <c r="M423" s="3"/>
      <c r="N423" s="4"/>
      <c r="O423" s="5" t="s">
        <v>21</v>
      </c>
      <c r="P423" s="5" t="s">
        <v>21</v>
      </c>
      <c r="Q423" s="5" t="s">
        <v>21</v>
      </c>
      <c r="R423" s="2"/>
      <c r="S423" s="5" t="s">
        <v>128</v>
      </c>
    </row>
    <row r="424" spans="2:19" hidden="1" x14ac:dyDescent="0.35">
      <c r="B424" s="5" t="s">
        <v>21</v>
      </c>
      <c r="C424" s="1">
        <v>729</v>
      </c>
      <c r="D424" s="5" t="s">
        <v>117</v>
      </c>
      <c r="E424" s="5" t="s">
        <v>55</v>
      </c>
      <c r="F424" s="6">
        <v>2.71</v>
      </c>
      <c r="H424" s="2">
        <v>46126</v>
      </c>
      <c r="I424" s="15">
        <f ca="1">TODAY()-Base_Relatório[[#This Row],[Plantio]]</f>
        <v>113</v>
      </c>
      <c r="K424" s="14">
        <v>46246</v>
      </c>
      <c r="L424" s="14" t="s">
        <v>189</v>
      </c>
      <c r="M424" s="3"/>
      <c r="N424" s="4"/>
      <c r="O424" s="5" t="s">
        <v>21</v>
      </c>
      <c r="P424" s="5" t="s">
        <v>21</v>
      </c>
      <c r="Q424" s="5" t="s">
        <v>21</v>
      </c>
      <c r="R424" s="2"/>
      <c r="S424" s="5" t="s">
        <v>128</v>
      </c>
    </row>
    <row r="425" spans="2:19" hidden="1" x14ac:dyDescent="0.35">
      <c r="B425" s="5" t="s">
        <v>21</v>
      </c>
      <c r="C425" s="1">
        <v>729</v>
      </c>
      <c r="D425" s="5" t="s">
        <v>117</v>
      </c>
      <c r="E425" s="5" t="s">
        <v>46</v>
      </c>
      <c r="F425" s="6">
        <v>16.53</v>
      </c>
      <c r="H425" s="2">
        <v>46132</v>
      </c>
      <c r="I425" s="15">
        <f ca="1">TODAY()-Base_Relatório[[#This Row],[Plantio]]</f>
        <v>107</v>
      </c>
      <c r="K425" s="14">
        <v>46252</v>
      </c>
      <c r="L425" s="14" t="s">
        <v>189</v>
      </c>
      <c r="M425" s="3"/>
      <c r="N425" s="4"/>
      <c r="O425" s="5" t="s">
        <v>21</v>
      </c>
      <c r="P425" s="5" t="s">
        <v>21</v>
      </c>
      <c r="Q425" s="5" t="s">
        <v>21</v>
      </c>
      <c r="R425" s="2"/>
      <c r="S425" s="5" t="s">
        <v>128</v>
      </c>
    </row>
    <row r="426" spans="2:19" hidden="1" x14ac:dyDescent="0.35">
      <c r="B426" s="5" t="s">
        <v>21</v>
      </c>
      <c r="C426" s="1">
        <v>729</v>
      </c>
      <c r="D426" s="5" t="s">
        <v>117</v>
      </c>
      <c r="E426" s="5" t="s">
        <v>56</v>
      </c>
      <c r="F426" s="6">
        <v>16.670000000000002</v>
      </c>
      <c r="H426" s="2">
        <v>46126</v>
      </c>
      <c r="I426" s="15">
        <f ca="1">TODAY()-Base_Relatório[[#This Row],[Plantio]]</f>
        <v>113</v>
      </c>
      <c r="K426" s="14">
        <v>46246</v>
      </c>
      <c r="L426" s="14" t="s">
        <v>189</v>
      </c>
      <c r="M426" s="3"/>
      <c r="N426" s="4"/>
      <c r="O426" s="5" t="s">
        <v>21</v>
      </c>
      <c r="P426" s="5" t="s">
        <v>21</v>
      </c>
      <c r="Q426" s="5" t="s">
        <v>21</v>
      </c>
      <c r="R426" s="2"/>
      <c r="S426" s="5" t="s">
        <v>128</v>
      </c>
    </row>
    <row r="427" spans="2:19" hidden="1" x14ac:dyDescent="0.35">
      <c r="B427" s="5" t="s">
        <v>21</v>
      </c>
      <c r="C427" s="1">
        <v>729</v>
      </c>
      <c r="D427" s="5" t="s">
        <v>117</v>
      </c>
      <c r="E427" s="5" t="s">
        <v>27</v>
      </c>
      <c r="F427" s="6">
        <v>16.93</v>
      </c>
      <c r="H427" s="2">
        <v>46132</v>
      </c>
      <c r="I427" s="15">
        <f ca="1">TODAY()-Base_Relatório[[#This Row],[Plantio]]</f>
        <v>107</v>
      </c>
      <c r="K427" s="14">
        <v>46252</v>
      </c>
      <c r="L427" s="14" t="s">
        <v>189</v>
      </c>
      <c r="M427" s="3"/>
      <c r="N427" s="4"/>
      <c r="O427" s="5" t="s">
        <v>21</v>
      </c>
      <c r="P427" s="5" t="s">
        <v>21</v>
      </c>
      <c r="Q427" s="5" t="s">
        <v>21</v>
      </c>
      <c r="R427" s="2"/>
      <c r="S427" s="5" t="s">
        <v>128</v>
      </c>
    </row>
    <row r="428" spans="2:19" hidden="1" x14ac:dyDescent="0.35">
      <c r="B428" s="5" t="s">
        <v>21</v>
      </c>
      <c r="C428" s="1">
        <v>729</v>
      </c>
      <c r="D428" s="5" t="s">
        <v>117</v>
      </c>
      <c r="E428" s="5" t="s">
        <v>28</v>
      </c>
      <c r="F428" s="6">
        <v>12.7</v>
      </c>
      <c r="H428" s="2">
        <v>46133</v>
      </c>
      <c r="I428" s="15">
        <f ca="1">TODAY()-Base_Relatório[[#This Row],[Plantio]]</f>
        <v>106</v>
      </c>
      <c r="K428" s="14">
        <v>46253</v>
      </c>
      <c r="L428" s="14" t="s">
        <v>189</v>
      </c>
      <c r="M428" s="3"/>
      <c r="N428" s="4"/>
      <c r="O428" s="5" t="s">
        <v>21</v>
      </c>
      <c r="P428" s="5" t="s">
        <v>21</v>
      </c>
      <c r="Q428" s="5" t="s">
        <v>21</v>
      </c>
      <c r="R428" s="2"/>
      <c r="S428" s="5" t="s">
        <v>128</v>
      </c>
    </row>
    <row r="429" spans="2:19" hidden="1" x14ac:dyDescent="0.35">
      <c r="B429" s="5" t="s">
        <v>21</v>
      </c>
      <c r="C429" s="1">
        <v>729</v>
      </c>
      <c r="D429" s="5" t="s">
        <v>117</v>
      </c>
      <c r="E429" s="5" t="s">
        <v>29</v>
      </c>
      <c r="F429" s="6">
        <v>2.64</v>
      </c>
      <c r="H429" s="2">
        <v>46140</v>
      </c>
      <c r="I429" s="15">
        <f ca="1">TODAY()-Base_Relatório[[#This Row],[Plantio]]</f>
        <v>99</v>
      </c>
      <c r="K429" s="14">
        <v>46260</v>
      </c>
      <c r="L429" s="14" t="s">
        <v>189</v>
      </c>
      <c r="M429" s="3"/>
      <c r="N429" s="4"/>
      <c r="O429" s="5" t="s">
        <v>21</v>
      </c>
      <c r="P429" s="5" t="s">
        <v>21</v>
      </c>
      <c r="Q429" s="5" t="s">
        <v>21</v>
      </c>
      <c r="R429" s="2"/>
      <c r="S429" s="5" t="s">
        <v>128</v>
      </c>
    </row>
    <row r="430" spans="2:19" x14ac:dyDescent="0.35">
      <c r="B430" s="5" t="s">
        <v>21</v>
      </c>
      <c r="C430" s="1">
        <v>759</v>
      </c>
      <c r="D430" s="5" t="s">
        <v>119</v>
      </c>
      <c r="E430" s="5" t="s">
        <v>31</v>
      </c>
      <c r="F430" s="6">
        <v>12.55</v>
      </c>
      <c r="H430" s="2">
        <v>46125</v>
      </c>
      <c r="I430" s="15">
        <f ca="1">TODAY()-Base_Relatório[[#This Row],[Plantio]]</f>
        <v>114</v>
      </c>
      <c r="K430" s="14">
        <v>46245</v>
      </c>
      <c r="L430" s="14" t="s">
        <v>189</v>
      </c>
      <c r="M430" s="3"/>
      <c r="N430" s="4"/>
      <c r="O430" s="5" t="s">
        <v>21</v>
      </c>
      <c r="P430" s="5" t="s">
        <v>21</v>
      </c>
      <c r="Q430" s="5" t="s">
        <v>21</v>
      </c>
      <c r="R430" s="2"/>
      <c r="S430" s="5" t="s">
        <v>127</v>
      </c>
    </row>
    <row r="431" spans="2:19" x14ac:dyDescent="0.35">
      <c r="B431" s="5" t="s">
        <v>21</v>
      </c>
      <c r="C431" s="1">
        <v>759</v>
      </c>
      <c r="D431" s="5" t="s">
        <v>119</v>
      </c>
      <c r="E431" s="5" t="s">
        <v>11</v>
      </c>
      <c r="F431" s="6">
        <v>15.49</v>
      </c>
      <c r="H431" s="2">
        <v>46119</v>
      </c>
      <c r="I431" s="15">
        <f ca="1">TODAY()-Base_Relatório[[#This Row],[Plantio]]</f>
        <v>120</v>
      </c>
      <c r="K431" s="14">
        <v>46239</v>
      </c>
      <c r="L431" s="14" t="s">
        <v>189</v>
      </c>
      <c r="M431" s="3"/>
      <c r="N431" s="4"/>
      <c r="O431" s="5" t="s">
        <v>21</v>
      </c>
      <c r="P431" s="5" t="s">
        <v>21</v>
      </c>
      <c r="Q431" s="5" t="s">
        <v>21</v>
      </c>
      <c r="R431" s="2"/>
      <c r="S431" s="5" t="s">
        <v>127</v>
      </c>
    </row>
    <row r="432" spans="2:19" x14ac:dyDescent="0.35">
      <c r="B432" s="5" t="s">
        <v>21</v>
      </c>
      <c r="C432" s="1">
        <v>759</v>
      </c>
      <c r="D432" s="5" t="s">
        <v>119</v>
      </c>
      <c r="E432" s="5" t="s">
        <v>32</v>
      </c>
      <c r="F432" s="6">
        <v>17.149999999999999</v>
      </c>
      <c r="H432" s="2">
        <v>46126</v>
      </c>
      <c r="I432" s="15">
        <f ca="1">TODAY()-Base_Relatório[[#This Row],[Plantio]]</f>
        <v>113</v>
      </c>
      <c r="K432" s="14">
        <v>46246</v>
      </c>
      <c r="L432" s="14" t="s">
        <v>189</v>
      </c>
      <c r="M432" s="3"/>
      <c r="N432" s="4"/>
      <c r="O432" s="5" t="s">
        <v>21</v>
      </c>
      <c r="P432" s="5" t="s">
        <v>21</v>
      </c>
      <c r="Q432" s="5" t="s">
        <v>21</v>
      </c>
      <c r="R432" s="2"/>
      <c r="S432" s="5" t="s">
        <v>127</v>
      </c>
    </row>
    <row r="433" spans="2:19" x14ac:dyDescent="0.35">
      <c r="B433" s="5" t="s">
        <v>21</v>
      </c>
      <c r="C433" s="1">
        <v>759</v>
      </c>
      <c r="D433" s="5" t="s">
        <v>119</v>
      </c>
      <c r="E433" s="5" t="s">
        <v>26</v>
      </c>
      <c r="F433" s="6">
        <v>9.94</v>
      </c>
      <c r="H433" s="2">
        <v>46120</v>
      </c>
      <c r="I433" s="15">
        <f ca="1">TODAY()-Base_Relatório[[#This Row],[Plantio]]</f>
        <v>119</v>
      </c>
      <c r="K433" s="14">
        <v>46240</v>
      </c>
      <c r="L433" s="14" t="s">
        <v>189</v>
      </c>
      <c r="M433" s="3"/>
      <c r="N433" s="4"/>
      <c r="O433" s="5" t="s">
        <v>21</v>
      </c>
      <c r="P433" s="5" t="s">
        <v>21</v>
      </c>
      <c r="Q433" s="5" t="s">
        <v>21</v>
      </c>
      <c r="R433" s="2"/>
      <c r="S433" s="5" t="s">
        <v>127</v>
      </c>
    </row>
    <row r="434" spans="2:19" x14ac:dyDescent="0.35">
      <c r="B434" s="5" t="s">
        <v>21</v>
      </c>
      <c r="C434" s="1">
        <v>759</v>
      </c>
      <c r="D434" s="5" t="s">
        <v>119</v>
      </c>
      <c r="E434" s="5" t="s">
        <v>49</v>
      </c>
      <c r="F434" s="6">
        <v>10.56</v>
      </c>
      <c r="H434" s="2">
        <v>46121</v>
      </c>
      <c r="I434" s="15">
        <f ca="1">TODAY()-Base_Relatório[[#This Row],[Plantio]]</f>
        <v>118</v>
      </c>
      <c r="K434" s="14">
        <v>46241</v>
      </c>
      <c r="L434" s="14" t="s">
        <v>189</v>
      </c>
      <c r="M434" s="3"/>
      <c r="N434" s="4"/>
      <c r="O434" s="5" t="s">
        <v>21</v>
      </c>
      <c r="P434" s="5" t="s">
        <v>21</v>
      </c>
      <c r="Q434" s="5" t="s">
        <v>21</v>
      </c>
      <c r="R434" s="2"/>
      <c r="S434" s="5" t="s">
        <v>127</v>
      </c>
    </row>
    <row r="435" spans="2:19" x14ac:dyDescent="0.35">
      <c r="B435" s="5" t="s">
        <v>21</v>
      </c>
      <c r="C435" s="1">
        <v>759</v>
      </c>
      <c r="D435" s="5" t="s">
        <v>119</v>
      </c>
      <c r="E435" s="5" t="s">
        <v>52</v>
      </c>
      <c r="F435" s="6">
        <v>19.32</v>
      </c>
      <c r="H435" s="2">
        <v>46127</v>
      </c>
      <c r="I435" s="15">
        <f ca="1">TODAY()-Base_Relatório[[#This Row],[Plantio]]</f>
        <v>112</v>
      </c>
      <c r="K435" s="14">
        <v>46247</v>
      </c>
      <c r="L435" s="14" t="s">
        <v>189</v>
      </c>
      <c r="M435" s="3"/>
      <c r="N435" s="4"/>
      <c r="O435" s="5" t="s">
        <v>21</v>
      </c>
      <c r="P435" s="5" t="s">
        <v>21</v>
      </c>
      <c r="Q435" s="5" t="s">
        <v>21</v>
      </c>
      <c r="R435" s="2"/>
      <c r="S435" s="5" t="s">
        <v>127</v>
      </c>
    </row>
    <row r="436" spans="2:19" hidden="1" x14ac:dyDescent="0.35">
      <c r="B436" s="5" t="s">
        <v>21</v>
      </c>
      <c r="C436" s="1">
        <v>761</v>
      </c>
      <c r="D436" s="5" t="s">
        <v>120</v>
      </c>
      <c r="E436" s="5" t="s">
        <v>17</v>
      </c>
      <c r="F436" s="6">
        <v>19.670000000000002</v>
      </c>
      <c r="H436" s="2">
        <v>46139</v>
      </c>
      <c r="I436" s="15">
        <f ca="1">TODAY()-Base_Relatório[[#This Row],[Plantio]]</f>
        <v>100</v>
      </c>
      <c r="K436" s="14">
        <v>46259</v>
      </c>
      <c r="L436" s="14" t="s">
        <v>189</v>
      </c>
      <c r="M436" s="3"/>
      <c r="N436" s="4"/>
      <c r="O436" s="5" t="s">
        <v>21</v>
      </c>
      <c r="P436" s="5" t="s">
        <v>21</v>
      </c>
      <c r="Q436" s="5" t="s">
        <v>21</v>
      </c>
      <c r="R436" s="2"/>
      <c r="S436" s="5" t="s">
        <v>128</v>
      </c>
    </row>
    <row r="437" spans="2:19" hidden="1" x14ac:dyDescent="0.35">
      <c r="B437" s="5" t="s">
        <v>21</v>
      </c>
      <c r="C437" s="1">
        <v>761</v>
      </c>
      <c r="D437" s="5" t="s">
        <v>120</v>
      </c>
      <c r="E437" s="5" t="s">
        <v>54</v>
      </c>
      <c r="F437" s="6">
        <v>8.85</v>
      </c>
      <c r="H437" s="2">
        <v>46136</v>
      </c>
      <c r="I437" s="15">
        <f ca="1">TODAY()-Base_Relatório[[#This Row],[Plantio]]</f>
        <v>103</v>
      </c>
      <c r="K437" s="14">
        <v>46256</v>
      </c>
      <c r="L437" s="14" t="s">
        <v>189</v>
      </c>
      <c r="M437" s="3"/>
      <c r="N437" s="4"/>
      <c r="O437" s="5" t="s">
        <v>21</v>
      </c>
      <c r="P437" s="5" t="s">
        <v>21</v>
      </c>
      <c r="Q437" s="5" t="s">
        <v>21</v>
      </c>
      <c r="R437" s="2"/>
      <c r="S437" s="5" t="s">
        <v>128</v>
      </c>
    </row>
    <row r="438" spans="2:19" hidden="1" x14ac:dyDescent="0.35">
      <c r="B438" s="5" t="s">
        <v>21</v>
      </c>
      <c r="C438" s="1">
        <v>784</v>
      </c>
      <c r="D438" s="5" t="s">
        <v>121</v>
      </c>
      <c r="E438" s="5" t="s">
        <v>17</v>
      </c>
      <c r="F438" s="6">
        <v>21.71</v>
      </c>
      <c r="H438" s="2">
        <v>46141</v>
      </c>
      <c r="I438" s="15">
        <f ca="1">TODAY()-Base_Relatório[[#This Row],[Plantio]]</f>
        <v>98</v>
      </c>
      <c r="K438" s="14">
        <v>46261</v>
      </c>
      <c r="L438" s="14" t="s">
        <v>189</v>
      </c>
      <c r="M438" s="3"/>
      <c r="N438" s="4"/>
      <c r="O438" s="5" t="s">
        <v>21</v>
      </c>
      <c r="P438" s="5" t="s">
        <v>21</v>
      </c>
      <c r="Q438" s="5" t="s">
        <v>21</v>
      </c>
      <c r="R438" s="2"/>
      <c r="S438" s="5" t="s">
        <v>126</v>
      </c>
    </row>
    <row r="439" spans="2:19" hidden="1" x14ac:dyDescent="0.35">
      <c r="B439" s="5" t="s">
        <v>21</v>
      </c>
      <c r="C439" s="1">
        <v>784</v>
      </c>
      <c r="D439" s="5" t="s">
        <v>121</v>
      </c>
      <c r="E439" s="5" t="s">
        <v>20</v>
      </c>
      <c r="F439" s="6">
        <v>36.28</v>
      </c>
      <c r="H439" s="2">
        <v>46125</v>
      </c>
      <c r="I439" s="15">
        <f ca="1">TODAY()-Base_Relatório[[#This Row],[Plantio]]</f>
        <v>114</v>
      </c>
      <c r="K439" s="14">
        <v>46245</v>
      </c>
      <c r="L439" s="14" t="s">
        <v>189</v>
      </c>
      <c r="M439" s="3"/>
      <c r="N439" s="4"/>
      <c r="O439" s="5" t="s">
        <v>21</v>
      </c>
      <c r="P439" s="5" t="s">
        <v>21</v>
      </c>
      <c r="Q439" s="5" t="s">
        <v>21</v>
      </c>
      <c r="R439" s="2"/>
      <c r="S439" s="5" t="s">
        <v>126</v>
      </c>
    </row>
    <row r="440" spans="2:19" hidden="1" x14ac:dyDescent="0.35">
      <c r="B440" s="5" t="s">
        <v>21</v>
      </c>
      <c r="C440" s="1">
        <v>784</v>
      </c>
      <c r="D440" s="5" t="s">
        <v>121</v>
      </c>
      <c r="E440" s="5" t="s">
        <v>22</v>
      </c>
      <c r="F440" s="6">
        <v>26.12</v>
      </c>
      <c r="H440" s="2">
        <v>46124</v>
      </c>
      <c r="I440" s="15">
        <f ca="1">TODAY()-Base_Relatório[[#This Row],[Plantio]]</f>
        <v>115</v>
      </c>
      <c r="K440" s="14">
        <v>46244</v>
      </c>
      <c r="L440" s="14" t="s">
        <v>189</v>
      </c>
      <c r="M440" s="3"/>
      <c r="N440" s="4"/>
      <c r="O440" s="5" t="s">
        <v>21</v>
      </c>
      <c r="P440" s="5" t="s">
        <v>21</v>
      </c>
      <c r="Q440" s="5" t="s">
        <v>21</v>
      </c>
      <c r="R440" s="2"/>
      <c r="S440" s="5" t="s">
        <v>126</v>
      </c>
    </row>
    <row r="441" spans="2:19" hidden="1" x14ac:dyDescent="0.35">
      <c r="B441" s="5" t="s">
        <v>21</v>
      </c>
      <c r="C441" s="1">
        <v>784</v>
      </c>
      <c r="D441" s="5" t="s">
        <v>121</v>
      </c>
      <c r="E441" s="5" t="s">
        <v>23</v>
      </c>
      <c r="F441" s="6">
        <v>14.49</v>
      </c>
      <c r="H441" s="2">
        <v>46120</v>
      </c>
      <c r="I441" s="15">
        <f ca="1">TODAY()-Base_Relatório[[#This Row],[Plantio]]</f>
        <v>119</v>
      </c>
      <c r="K441" s="14">
        <v>46240</v>
      </c>
      <c r="L441" s="14" t="s">
        <v>189</v>
      </c>
      <c r="M441" s="3"/>
      <c r="N441" s="4"/>
      <c r="O441" s="5" t="s">
        <v>21</v>
      </c>
      <c r="P441" s="5" t="s">
        <v>21</v>
      </c>
      <c r="Q441" s="5" t="s">
        <v>21</v>
      </c>
      <c r="R441" s="2"/>
      <c r="S441" s="5" t="s">
        <v>126</v>
      </c>
    </row>
    <row r="442" spans="2:19" hidden="1" x14ac:dyDescent="0.35">
      <c r="B442" s="5" t="s">
        <v>21</v>
      </c>
      <c r="C442" s="1">
        <v>784</v>
      </c>
      <c r="D442" s="5" t="s">
        <v>121</v>
      </c>
      <c r="E442" s="5" t="s">
        <v>24</v>
      </c>
      <c r="F442" s="6">
        <v>21.94</v>
      </c>
      <c r="H442" s="2">
        <v>46119</v>
      </c>
      <c r="I442" s="15">
        <f ca="1">TODAY()-Base_Relatório[[#This Row],[Plantio]]</f>
        <v>120</v>
      </c>
      <c r="K442" s="14">
        <v>46239</v>
      </c>
      <c r="L442" s="14" t="s">
        <v>189</v>
      </c>
      <c r="M442" s="3"/>
      <c r="N442" s="4"/>
      <c r="O442" s="5" t="s">
        <v>21</v>
      </c>
      <c r="P442" s="5" t="s">
        <v>21</v>
      </c>
      <c r="Q442" s="5" t="s">
        <v>21</v>
      </c>
      <c r="R442" s="2"/>
      <c r="S442" s="5" t="s">
        <v>126</v>
      </c>
    </row>
    <row r="443" spans="2:19" hidden="1" x14ac:dyDescent="0.35">
      <c r="B443" s="5" t="s">
        <v>21</v>
      </c>
      <c r="C443" s="1">
        <v>784</v>
      </c>
      <c r="D443" s="5" t="s">
        <v>121</v>
      </c>
      <c r="E443" s="5" t="s">
        <v>31</v>
      </c>
      <c r="F443" s="6">
        <v>34.07</v>
      </c>
      <c r="H443" s="2">
        <v>46132</v>
      </c>
      <c r="I443" s="15">
        <f ca="1">TODAY()-Base_Relatório[[#This Row],[Plantio]]</f>
        <v>107</v>
      </c>
      <c r="K443" s="14">
        <v>46252</v>
      </c>
      <c r="L443" s="14" t="s">
        <v>189</v>
      </c>
      <c r="M443" s="3"/>
      <c r="N443" s="4"/>
      <c r="O443" s="5" t="s">
        <v>21</v>
      </c>
      <c r="P443" s="5" t="s">
        <v>21</v>
      </c>
      <c r="Q443" s="5" t="s">
        <v>21</v>
      </c>
      <c r="R443" s="2"/>
      <c r="S443" s="5" t="s">
        <v>126</v>
      </c>
    </row>
    <row r="444" spans="2:19" hidden="1" x14ac:dyDescent="0.35">
      <c r="B444" s="5" t="s">
        <v>21</v>
      </c>
      <c r="C444" s="1">
        <v>784</v>
      </c>
      <c r="D444" s="5" t="s">
        <v>121</v>
      </c>
      <c r="E444" s="5" t="s">
        <v>11</v>
      </c>
      <c r="F444" s="6">
        <v>41.56</v>
      </c>
      <c r="H444" s="2">
        <v>46127</v>
      </c>
      <c r="I444" s="15">
        <f ca="1">TODAY()-Base_Relatório[[#This Row],[Plantio]]</f>
        <v>112</v>
      </c>
      <c r="K444" s="14">
        <v>46247</v>
      </c>
      <c r="L444" s="14" t="s">
        <v>189</v>
      </c>
      <c r="M444" s="3"/>
      <c r="N444" s="4"/>
      <c r="O444" s="5" t="s">
        <v>21</v>
      </c>
      <c r="P444" s="5" t="s">
        <v>21</v>
      </c>
      <c r="Q444" s="5" t="s">
        <v>21</v>
      </c>
      <c r="R444" s="2"/>
      <c r="S444" s="5" t="s">
        <v>126</v>
      </c>
    </row>
    <row r="445" spans="2:19" hidden="1" x14ac:dyDescent="0.35">
      <c r="B445" s="5" t="s">
        <v>21</v>
      </c>
      <c r="C445" s="1">
        <v>784</v>
      </c>
      <c r="D445" s="5" t="s">
        <v>121</v>
      </c>
      <c r="E445" s="5" t="s">
        <v>32</v>
      </c>
      <c r="F445" s="6">
        <v>9.99</v>
      </c>
      <c r="H445" s="2">
        <v>46128</v>
      </c>
      <c r="I445" s="15">
        <f ca="1">TODAY()-Base_Relatório[[#This Row],[Plantio]]</f>
        <v>111</v>
      </c>
      <c r="K445" s="14">
        <v>46248</v>
      </c>
      <c r="L445" s="14" t="s">
        <v>189</v>
      </c>
      <c r="M445" s="3"/>
      <c r="N445" s="4"/>
      <c r="O445" s="5" t="s">
        <v>21</v>
      </c>
      <c r="P445" s="5" t="s">
        <v>21</v>
      </c>
      <c r="Q445" s="5" t="s">
        <v>21</v>
      </c>
      <c r="R445" s="2"/>
      <c r="S445" s="5" t="s">
        <v>126</v>
      </c>
    </row>
    <row r="446" spans="2:19" hidden="1" x14ac:dyDescent="0.35">
      <c r="B446" s="5" t="s">
        <v>21</v>
      </c>
      <c r="C446" s="1">
        <v>784</v>
      </c>
      <c r="D446" s="5" t="s">
        <v>121</v>
      </c>
      <c r="E446" s="5" t="s">
        <v>26</v>
      </c>
      <c r="F446" s="6">
        <v>19.71</v>
      </c>
      <c r="H446" s="2">
        <v>46129</v>
      </c>
      <c r="I446" s="15">
        <f ca="1">TODAY()-Base_Relatório[[#This Row],[Plantio]]</f>
        <v>110</v>
      </c>
      <c r="K446" s="14">
        <v>46249</v>
      </c>
      <c r="L446" s="14" t="s">
        <v>189</v>
      </c>
      <c r="M446" s="3"/>
      <c r="N446" s="4"/>
      <c r="O446" s="5" t="s">
        <v>21</v>
      </c>
      <c r="P446" s="5" t="s">
        <v>21</v>
      </c>
      <c r="Q446" s="5" t="s">
        <v>21</v>
      </c>
      <c r="R446" s="2"/>
      <c r="S446" s="5" t="s">
        <v>126</v>
      </c>
    </row>
    <row r="447" spans="2:19" hidden="1" x14ac:dyDescent="0.35">
      <c r="B447" s="5" t="s">
        <v>21</v>
      </c>
      <c r="C447" s="1">
        <v>784</v>
      </c>
      <c r="D447" s="5" t="s">
        <v>121</v>
      </c>
      <c r="E447" s="5" t="s">
        <v>49</v>
      </c>
      <c r="F447" s="6">
        <v>28.93</v>
      </c>
      <c r="H447" s="2">
        <v>46133</v>
      </c>
      <c r="I447" s="15">
        <f ca="1">TODAY()-Base_Relatório[[#This Row],[Plantio]]</f>
        <v>106</v>
      </c>
      <c r="K447" s="14">
        <v>46253</v>
      </c>
      <c r="L447" s="14" t="s">
        <v>189</v>
      </c>
      <c r="M447" s="3"/>
      <c r="N447" s="4"/>
      <c r="O447" s="5" t="s">
        <v>21</v>
      </c>
      <c r="P447" s="5" t="s">
        <v>21</v>
      </c>
      <c r="Q447" s="5" t="s">
        <v>21</v>
      </c>
      <c r="R447" s="2"/>
      <c r="S447" s="5" t="s">
        <v>126</v>
      </c>
    </row>
    <row r="448" spans="2:19" hidden="1" x14ac:dyDescent="0.35">
      <c r="B448" s="5" t="s">
        <v>21</v>
      </c>
      <c r="C448" s="1">
        <v>784</v>
      </c>
      <c r="D448" s="5" t="s">
        <v>121</v>
      </c>
      <c r="E448" s="5" t="s">
        <v>52</v>
      </c>
      <c r="F448" s="6">
        <v>52.9</v>
      </c>
      <c r="H448" s="2">
        <v>46156</v>
      </c>
      <c r="I448" s="15">
        <f ca="1">TODAY()-Base_Relatório[[#This Row],[Plantio]]</f>
        <v>83</v>
      </c>
      <c r="K448" s="14">
        <v>46276</v>
      </c>
      <c r="L448" s="14" t="s">
        <v>189</v>
      </c>
      <c r="M448" s="3"/>
      <c r="N448" s="4"/>
      <c r="O448" s="5" t="s">
        <v>21</v>
      </c>
      <c r="P448" s="5" t="s">
        <v>21</v>
      </c>
      <c r="Q448" s="5" t="s">
        <v>21</v>
      </c>
      <c r="R448" s="2"/>
      <c r="S448" s="5" t="s">
        <v>126</v>
      </c>
    </row>
    <row r="449" spans="2:19" hidden="1" x14ac:dyDescent="0.35">
      <c r="B449" s="5" t="s">
        <v>21</v>
      </c>
      <c r="C449" s="1">
        <v>784</v>
      </c>
      <c r="D449" s="5" t="s">
        <v>121</v>
      </c>
      <c r="E449" s="5" t="s">
        <v>54</v>
      </c>
      <c r="F449" s="6">
        <v>32.880000000000003</v>
      </c>
      <c r="H449" s="2">
        <v>46142</v>
      </c>
      <c r="I449" s="15">
        <f ca="1">TODAY()-Base_Relatório[[#This Row],[Plantio]]</f>
        <v>97</v>
      </c>
      <c r="K449" s="14">
        <v>46262</v>
      </c>
      <c r="L449" s="14" t="s">
        <v>189</v>
      </c>
      <c r="M449" s="3"/>
      <c r="N449" s="4"/>
      <c r="O449" s="5" t="s">
        <v>21</v>
      </c>
      <c r="P449" s="5" t="s">
        <v>21</v>
      </c>
      <c r="Q449" s="5" t="s">
        <v>21</v>
      </c>
      <c r="R449" s="2"/>
      <c r="S449" s="5" t="s">
        <v>126</v>
      </c>
    </row>
    <row r="450" spans="2:19" hidden="1" x14ac:dyDescent="0.35">
      <c r="B450" s="5" t="s">
        <v>21</v>
      </c>
      <c r="C450" s="1">
        <v>784</v>
      </c>
      <c r="D450" s="5" t="s">
        <v>121</v>
      </c>
      <c r="E450" s="5" t="s">
        <v>57</v>
      </c>
      <c r="F450" s="6">
        <v>49.1</v>
      </c>
      <c r="H450" s="2">
        <v>46135</v>
      </c>
      <c r="I450" s="15">
        <f ca="1">TODAY()-Base_Relatório[[#This Row],[Plantio]]</f>
        <v>104</v>
      </c>
      <c r="K450" s="14">
        <v>46255</v>
      </c>
      <c r="L450" s="14" t="s">
        <v>189</v>
      </c>
      <c r="M450" s="3"/>
      <c r="N450" s="4"/>
      <c r="O450" s="5" t="s">
        <v>21</v>
      </c>
      <c r="P450" s="5" t="s">
        <v>21</v>
      </c>
      <c r="Q450" s="5" t="s">
        <v>21</v>
      </c>
      <c r="R450" s="2"/>
      <c r="S450" s="5" t="s">
        <v>126</v>
      </c>
    </row>
    <row r="451" spans="2:19" hidden="1" x14ac:dyDescent="0.35">
      <c r="B451" s="5" t="s">
        <v>21</v>
      </c>
      <c r="C451" s="1">
        <v>784</v>
      </c>
      <c r="D451" s="5" t="s">
        <v>121</v>
      </c>
      <c r="E451" s="5" t="s">
        <v>84</v>
      </c>
      <c r="F451" s="6">
        <v>38.299999999999997</v>
      </c>
      <c r="H451" s="2">
        <v>46133</v>
      </c>
      <c r="I451" s="15">
        <f ca="1">TODAY()-Base_Relatório[[#This Row],[Plantio]]</f>
        <v>106</v>
      </c>
      <c r="K451" s="14">
        <v>46253</v>
      </c>
      <c r="L451" s="14" t="s">
        <v>189</v>
      </c>
      <c r="M451" s="3"/>
      <c r="N451" s="4"/>
      <c r="O451" s="5" t="s">
        <v>21</v>
      </c>
      <c r="P451" s="5" t="s">
        <v>21</v>
      </c>
      <c r="Q451" s="5" t="s">
        <v>21</v>
      </c>
      <c r="R451" s="2"/>
      <c r="S451" s="5" t="s">
        <v>126</v>
      </c>
    </row>
    <row r="452" spans="2:19" hidden="1" x14ac:dyDescent="0.35">
      <c r="B452" s="5" t="s">
        <v>21</v>
      </c>
      <c r="C452" s="1">
        <v>784</v>
      </c>
      <c r="D452" s="5" t="s">
        <v>121</v>
      </c>
      <c r="E452" s="5" t="s">
        <v>33</v>
      </c>
      <c r="F452" s="6">
        <v>34.799999999999997</v>
      </c>
      <c r="H452" s="2">
        <v>46137</v>
      </c>
      <c r="I452" s="15">
        <f ca="1">TODAY()-Base_Relatório[[#This Row],[Plantio]]</f>
        <v>102</v>
      </c>
      <c r="K452" s="14">
        <v>46257</v>
      </c>
      <c r="L452" s="14" t="s">
        <v>189</v>
      </c>
      <c r="M452" s="3"/>
      <c r="N452" s="4"/>
      <c r="O452" s="5" t="s">
        <v>21</v>
      </c>
      <c r="P452" s="5" t="s">
        <v>21</v>
      </c>
      <c r="Q452" s="5" t="s">
        <v>21</v>
      </c>
      <c r="R452" s="2"/>
      <c r="S452" s="5" t="s">
        <v>126</v>
      </c>
    </row>
    <row r="453" spans="2:19" hidden="1" x14ac:dyDescent="0.35">
      <c r="B453" s="5" t="s">
        <v>21</v>
      </c>
      <c r="C453" s="1">
        <v>784</v>
      </c>
      <c r="D453" s="5" t="s">
        <v>121</v>
      </c>
      <c r="E453" s="5" t="s">
        <v>85</v>
      </c>
      <c r="F453" s="6">
        <v>27.84</v>
      </c>
      <c r="H453" s="2">
        <v>46147</v>
      </c>
      <c r="I453" s="15">
        <f ca="1">TODAY()-Base_Relatório[[#This Row],[Plantio]]</f>
        <v>92</v>
      </c>
      <c r="K453" s="14">
        <v>46267</v>
      </c>
      <c r="L453" s="14" t="s">
        <v>189</v>
      </c>
      <c r="M453" s="3"/>
      <c r="N453" s="4"/>
      <c r="O453" s="5" t="s">
        <v>21</v>
      </c>
      <c r="P453" s="5" t="s">
        <v>21</v>
      </c>
      <c r="Q453" s="5" t="s">
        <v>21</v>
      </c>
      <c r="R453" s="2"/>
      <c r="S453" s="5" t="s">
        <v>126</v>
      </c>
    </row>
    <row r="454" spans="2:19" hidden="1" x14ac:dyDescent="0.35">
      <c r="B454" s="5" t="s">
        <v>21</v>
      </c>
      <c r="C454" s="1">
        <v>784</v>
      </c>
      <c r="D454" s="5" t="s">
        <v>121</v>
      </c>
      <c r="E454" s="5" t="s">
        <v>34</v>
      </c>
      <c r="F454" s="6">
        <v>16.02</v>
      </c>
      <c r="H454" s="2">
        <v>46136</v>
      </c>
      <c r="I454" s="15">
        <f ca="1">TODAY()-Base_Relatório[[#This Row],[Plantio]]</f>
        <v>103</v>
      </c>
      <c r="K454" s="14">
        <v>46256</v>
      </c>
      <c r="L454" s="14" t="s">
        <v>189</v>
      </c>
      <c r="M454" s="3"/>
      <c r="N454" s="4"/>
      <c r="O454" s="5" t="s">
        <v>21</v>
      </c>
      <c r="P454" s="5" t="s">
        <v>21</v>
      </c>
      <c r="Q454" s="5" t="s">
        <v>21</v>
      </c>
      <c r="R454" s="2"/>
      <c r="S454" s="5" t="s">
        <v>126</v>
      </c>
    </row>
    <row r="455" spans="2:19" hidden="1" x14ac:dyDescent="0.35">
      <c r="B455" s="5" t="s">
        <v>21</v>
      </c>
      <c r="C455" s="1">
        <v>784</v>
      </c>
      <c r="D455" s="5" t="s">
        <v>121</v>
      </c>
      <c r="E455" s="5" t="s">
        <v>35</v>
      </c>
      <c r="F455" s="6">
        <v>32.93</v>
      </c>
      <c r="H455" s="2">
        <v>46152</v>
      </c>
      <c r="I455" s="15">
        <f ca="1">TODAY()-Base_Relatório[[#This Row],[Plantio]]</f>
        <v>87</v>
      </c>
      <c r="K455" s="14">
        <v>46272</v>
      </c>
      <c r="L455" s="14" t="s">
        <v>189</v>
      </c>
      <c r="M455" s="3"/>
      <c r="N455" s="4"/>
      <c r="O455" s="5" t="s">
        <v>21</v>
      </c>
      <c r="P455" s="5" t="s">
        <v>21</v>
      </c>
      <c r="Q455" s="5" t="s">
        <v>21</v>
      </c>
      <c r="R455" s="2"/>
      <c r="S455" s="5" t="s">
        <v>126</v>
      </c>
    </row>
    <row r="456" spans="2:19" hidden="1" x14ac:dyDescent="0.35">
      <c r="B456" s="5" t="s">
        <v>21</v>
      </c>
      <c r="C456" s="1">
        <v>784</v>
      </c>
      <c r="D456" s="5" t="s">
        <v>121</v>
      </c>
      <c r="E456" s="5" t="s">
        <v>36</v>
      </c>
      <c r="F456" s="6">
        <v>31.49</v>
      </c>
      <c r="H456" s="2">
        <v>46154</v>
      </c>
      <c r="I456" s="15">
        <f ca="1">TODAY()-Base_Relatório[[#This Row],[Plantio]]</f>
        <v>85</v>
      </c>
      <c r="K456" s="14">
        <v>46274</v>
      </c>
      <c r="L456" s="14" t="s">
        <v>189</v>
      </c>
      <c r="M456" s="3"/>
      <c r="N456" s="4"/>
      <c r="O456" s="5" t="s">
        <v>21</v>
      </c>
      <c r="P456" s="5" t="s">
        <v>21</v>
      </c>
      <c r="Q456" s="5" t="s">
        <v>21</v>
      </c>
      <c r="R456" s="2"/>
      <c r="S456" s="5" t="s">
        <v>126</v>
      </c>
    </row>
    <row r="457" spans="2:19" hidden="1" x14ac:dyDescent="0.35">
      <c r="B457" s="5" t="s">
        <v>21</v>
      </c>
      <c r="C457" s="1">
        <v>784</v>
      </c>
      <c r="D457" s="5" t="s">
        <v>121</v>
      </c>
      <c r="E457" s="5" t="s">
        <v>99</v>
      </c>
      <c r="F457" s="6">
        <v>21.31</v>
      </c>
      <c r="H457" s="2">
        <v>46160</v>
      </c>
      <c r="I457" s="15">
        <f ca="1">TODAY()-Base_Relatório[[#This Row],[Plantio]]</f>
        <v>79</v>
      </c>
      <c r="K457" s="14">
        <v>46280</v>
      </c>
      <c r="L457" s="14" t="s">
        <v>189</v>
      </c>
      <c r="M457" s="3"/>
      <c r="N457" s="4"/>
      <c r="O457" s="5" t="s">
        <v>21</v>
      </c>
      <c r="P457" s="5" t="s">
        <v>21</v>
      </c>
      <c r="Q457" s="5" t="s">
        <v>21</v>
      </c>
      <c r="R457" s="2"/>
      <c r="S457" s="5" t="s">
        <v>126</v>
      </c>
    </row>
    <row r="458" spans="2:19" hidden="1" x14ac:dyDescent="0.35">
      <c r="B458" s="5" t="s">
        <v>21</v>
      </c>
      <c r="C458" s="1">
        <v>784</v>
      </c>
      <c r="D458" s="5" t="s">
        <v>121</v>
      </c>
      <c r="E458" s="5" t="s">
        <v>37</v>
      </c>
      <c r="F458" s="6">
        <v>31.29</v>
      </c>
      <c r="H458" s="2">
        <v>46162</v>
      </c>
      <c r="I458" s="15">
        <f ca="1">TODAY()-Base_Relatório[[#This Row],[Plantio]]</f>
        <v>77</v>
      </c>
      <c r="K458" s="14">
        <v>46282</v>
      </c>
      <c r="L458" s="14" t="s">
        <v>189</v>
      </c>
      <c r="M458" s="3"/>
      <c r="N458" s="4"/>
      <c r="O458" s="5" t="s">
        <v>21</v>
      </c>
      <c r="P458" s="5" t="s">
        <v>21</v>
      </c>
      <c r="Q458" s="5" t="s">
        <v>21</v>
      </c>
      <c r="R458" s="2"/>
      <c r="S458" s="5" t="s">
        <v>126</v>
      </c>
    </row>
    <row r="459" spans="2:19" hidden="1" x14ac:dyDescent="0.35">
      <c r="B459" s="5" t="s">
        <v>21</v>
      </c>
      <c r="C459" s="1">
        <v>784</v>
      </c>
      <c r="D459" s="5" t="s">
        <v>121</v>
      </c>
      <c r="E459" s="5" t="s">
        <v>38</v>
      </c>
      <c r="F459" s="6">
        <v>45.57</v>
      </c>
      <c r="H459" s="2">
        <v>46140</v>
      </c>
      <c r="I459" s="15">
        <f ca="1">TODAY()-Base_Relatório[[#This Row],[Plantio]]</f>
        <v>99</v>
      </c>
      <c r="K459" s="14">
        <v>46260</v>
      </c>
      <c r="L459" s="14" t="s">
        <v>189</v>
      </c>
      <c r="M459" s="3"/>
      <c r="N459" s="4"/>
      <c r="O459" s="5" t="s">
        <v>21</v>
      </c>
      <c r="P459" s="5" t="s">
        <v>21</v>
      </c>
      <c r="Q459" s="5" t="s">
        <v>21</v>
      </c>
      <c r="R459" s="2"/>
      <c r="S459" s="5" t="s">
        <v>126</v>
      </c>
    </row>
    <row r="460" spans="2:19" hidden="1" x14ac:dyDescent="0.35">
      <c r="B460" s="5" t="s">
        <v>21</v>
      </c>
      <c r="C460" s="1">
        <v>784</v>
      </c>
      <c r="D460" s="5" t="s">
        <v>121</v>
      </c>
      <c r="E460" s="5" t="s">
        <v>13</v>
      </c>
      <c r="F460" s="6">
        <v>22.11</v>
      </c>
      <c r="H460" s="2">
        <v>46140</v>
      </c>
      <c r="I460" s="15">
        <f ca="1">TODAY()-Base_Relatório[[#This Row],[Plantio]]</f>
        <v>99</v>
      </c>
      <c r="K460" s="14">
        <v>46260</v>
      </c>
      <c r="L460" s="14" t="s">
        <v>189</v>
      </c>
      <c r="M460" s="3"/>
      <c r="N460" s="4"/>
      <c r="O460" s="5" t="s">
        <v>21</v>
      </c>
      <c r="P460" s="5" t="s">
        <v>21</v>
      </c>
      <c r="Q460" s="5" t="s">
        <v>21</v>
      </c>
      <c r="R460" s="2"/>
      <c r="S460" s="5" t="s">
        <v>126</v>
      </c>
    </row>
    <row r="461" spans="2:19" hidden="1" x14ac:dyDescent="0.35">
      <c r="B461" s="5" t="s">
        <v>21</v>
      </c>
      <c r="C461" s="1">
        <v>784</v>
      </c>
      <c r="D461" s="5" t="s">
        <v>121</v>
      </c>
      <c r="E461" s="5" t="s">
        <v>39</v>
      </c>
      <c r="F461" s="6">
        <v>21.41</v>
      </c>
      <c r="H461" s="2">
        <v>46157</v>
      </c>
      <c r="I461" s="15">
        <f ca="1">TODAY()-Base_Relatório[[#This Row],[Plantio]]</f>
        <v>82</v>
      </c>
      <c r="K461" s="14">
        <v>46277</v>
      </c>
      <c r="L461" s="14" t="s">
        <v>189</v>
      </c>
      <c r="M461" s="3"/>
      <c r="N461" s="4"/>
      <c r="O461" s="5" t="s">
        <v>21</v>
      </c>
      <c r="P461" s="5" t="s">
        <v>21</v>
      </c>
      <c r="Q461" s="5" t="s">
        <v>21</v>
      </c>
      <c r="R461" s="2"/>
      <c r="S461" s="5" t="s">
        <v>126</v>
      </c>
    </row>
    <row r="462" spans="2:19" hidden="1" x14ac:dyDescent="0.35">
      <c r="B462" s="5" t="s">
        <v>21</v>
      </c>
      <c r="C462" s="1">
        <v>784</v>
      </c>
      <c r="D462" s="5" t="s">
        <v>121</v>
      </c>
      <c r="E462" s="5" t="s">
        <v>40</v>
      </c>
      <c r="F462" s="6">
        <v>38.299999999999997</v>
      </c>
      <c r="H462" s="2">
        <v>46156</v>
      </c>
      <c r="I462" s="15">
        <f ca="1">TODAY()-Base_Relatório[[#This Row],[Plantio]]</f>
        <v>83</v>
      </c>
      <c r="K462" s="14">
        <v>46276</v>
      </c>
      <c r="L462" s="14" t="s">
        <v>189</v>
      </c>
      <c r="M462" s="3"/>
      <c r="N462" s="4"/>
      <c r="O462" s="5" t="s">
        <v>21</v>
      </c>
      <c r="P462" s="5" t="s">
        <v>21</v>
      </c>
      <c r="Q462" s="5" t="s">
        <v>21</v>
      </c>
      <c r="R462" s="2"/>
      <c r="S462" s="5" t="s">
        <v>126</v>
      </c>
    </row>
    <row r="463" spans="2:19" hidden="1" x14ac:dyDescent="0.35">
      <c r="B463" s="5" t="s">
        <v>21</v>
      </c>
      <c r="C463" s="1">
        <v>784</v>
      </c>
      <c r="D463" s="5" t="s">
        <v>121</v>
      </c>
      <c r="E463" s="5" t="s">
        <v>58</v>
      </c>
      <c r="F463" s="6">
        <v>39.93</v>
      </c>
      <c r="H463" s="2">
        <v>46159</v>
      </c>
      <c r="I463" s="15">
        <f ca="1">TODAY()-Base_Relatório[[#This Row],[Plantio]]</f>
        <v>80</v>
      </c>
      <c r="K463" s="14">
        <v>46279</v>
      </c>
      <c r="L463" s="14" t="s">
        <v>189</v>
      </c>
      <c r="M463" s="3"/>
      <c r="N463" s="4"/>
      <c r="O463" s="5" t="s">
        <v>21</v>
      </c>
      <c r="P463" s="5" t="s">
        <v>21</v>
      </c>
      <c r="Q463" s="5" t="s">
        <v>21</v>
      </c>
      <c r="R463" s="2"/>
      <c r="S463" s="5" t="s">
        <v>126</v>
      </c>
    </row>
    <row r="464" spans="2:19" hidden="1" x14ac:dyDescent="0.35">
      <c r="B464" s="5" t="s">
        <v>21</v>
      </c>
      <c r="C464" s="1">
        <v>784</v>
      </c>
      <c r="D464" s="5" t="s">
        <v>121</v>
      </c>
      <c r="E464" s="5" t="s">
        <v>41</v>
      </c>
      <c r="F464" s="6">
        <v>25.39</v>
      </c>
      <c r="H464" s="2">
        <v>46160</v>
      </c>
      <c r="I464" s="15">
        <f ca="1">TODAY()-Base_Relatório[[#This Row],[Plantio]]</f>
        <v>79</v>
      </c>
      <c r="K464" s="14">
        <v>46280</v>
      </c>
      <c r="L464" s="14" t="s">
        <v>189</v>
      </c>
      <c r="M464" s="3"/>
      <c r="N464" s="4"/>
      <c r="O464" s="5" t="s">
        <v>21</v>
      </c>
      <c r="P464" s="5" t="s">
        <v>21</v>
      </c>
      <c r="Q464" s="5" t="s">
        <v>21</v>
      </c>
      <c r="R464" s="2"/>
      <c r="S464" s="5" t="s">
        <v>126</v>
      </c>
    </row>
    <row r="465" spans="2:19" hidden="1" x14ac:dyDescent="0.35">
      <c r="B465" s="5" t="s">
        <v>21</v>
      </c>
      <c r="C465" s="1">
        <v>784</v>
      </c>
      <c r="D465" s="5" t="s">
        <v>121</v>
      </c>
      <c r="E465" s="5" t="s">
        <v>42</v>
      </c>
      <c r="F465" s="6">
        <v>18.18</v>
      </c>
      <c r="H465" s="2">
        <v>46161</v>
      </c>
      <c r="I465" s="15">
        <f ca="1">TODAY()-Base_Relatório[[#This Row],[Plantio]]</f>
        <v>78</v>
      </c>
      <c r="K465" s="14">
        <v>46281</v>
      </c>
      <c r="L465" s="14" t="s">
        <v>189</v>
      </c>
      <c r="M465" s="3"/>
      <c r="N465" s="4"/>
      <c r="O465" s="5" t="s">
        <v>21</v>
      </c>
      <c r="P465" s="5" t="s">
        <v>21</v>
      </c>
      <c r="Q465" s="5" t="s">
        <v>21</v>
      </c>
      <c r="R465" s="2"/>
      <c r="S465" s="5" t="s">
        <v>126</v>
      </c>
    </row>
    <row r="466" spans="2:19" hidden="1" x14ac:dyDescent="0.35">
      <c r="B466" s="5" t="s">
        <v>21</v>
      </c>
      <c r="C466" s="1">
        <v>784</v>
      </c>
      <c r="D466" s="5" t="s">
        <v>121</v>
      </c>
      <c r="E466" s="5" t="s">
        <v>43</v>
      </c>
      <c r="F466" s="6">
        <v>29.01</v>
      </c>
      <c r="H466" s="2">
        <v>46162</v>
      </c>
      <c r="I466" s="15">
        <f ca="1">TODAY()-Base_Relatório[[#This Row],[Plantio]]</f>
        <v>77</v>
      </c>
      <c r="K466" s="14">
        <v>46282</v>
      </c>
      <c r="L466" s="14" t="s">
        <v>189</v>
      </c>
      <c r="M466" s="3"/>
      <c r="N466" s="4"/>
      <c r="O466" s="5" t="s">
        <v>21</v>
      </c>
      <c r="P466" s="5" t="s">
        <v>21</v>
      </c>
      <c r="Q466" s="5" t="s">
        <v>21</v>
      </c>
      <c r="R466" s="2"/>
      <c r="S466" s="5" t="s">
        <v>126</v>
      </c>
    </row>
    <row r="467" spans="2:19" hidden="1" x14ac:dyDescent="0.35">
      <c r="B467" s="5" t="s">
        <v>21</v>
      </c>
      <c r="C467" s="1">
        <v>784</v>
      </c>
      <c r="D467" s="5" t="s">
        <v>121</v>
      </c>
      <c r="E467" s="5" t="s">
        <v>44</v>
      </c>
      <c r="F467" s="6">
        <v>26.03</v>
      </c>
      <c r="H467" s="2">
        <v>46163</v>
      </c>
      <c r="I467" s="15">
        <f ca="1">TODAY()-Base_Relatório[[#This Row],[Plantio]]</f>
        <v>76</v>
      </c>
      <c r="K467" s="14">
        <v>46283</v>
      </c>
      <c r="L467" s="14" t="s">
        <v>189</v>
      </c>
      <c r="M467" s="3"/>
      <c r="N467" s="4"/>
      <c r="O467" s="5" t="s">
        <v>21</v>
      </c>
      <c r="P467" s="5" t="s">
        <v>21</v>
      </c>
      <c r="Q467" s="5" t="s">
        <v>21</v>
      </c>
      <c r="R467" s="2"/>
      <c r="S467" s="5" t="s">
        <v>126</v>
      </c>
    </row>
    <row r="468" spans="2:19" hidden="1" x14ac:dyDescent="0.35">
      <c r="B468" s="5" t="s">
        <v>21</v>
      </c>
      <c r="C468" s="1">
        <v>784</v>
      </c>
      <c r="D468" s="5" t="s">
        <v>121</v>
      </c>
      <c r="E468" s="5" t="s">
        <v>45</v>
      </c>
      <c r="F468" s="6">
        <v>13.02</v>
      </c>
      <c r="H468" s="2">
        <v>46164</v>
      </c>
      <c r="I468" s="15">
        <f ca="1">TODAY()-Base_Relatório[[#This Row],[Plantio]]</f>
        <v>75</v>
      </c>
      <c r="K468" s="14">
        <v>46284</v>
      </c>
      <c r="L468" s="14" t="s">
        <v>189</v>
      </c>
      <c r="M468" s="3"/>
      <c r="N468" s="4"/>
      <c r="O468" s="5" t="s">
        <v>21</v>
      </c>
      <c r="P468" s="5" t="s">
        <v>21</v>
      </c>
      <c r="Q468" s="5" t="s">
        <v>21</v>
      </c>
      <c r="R468" s="2"/>
      <c r="S468" s="5" t="s">
        <v>126</v>
      </c>
    </row>
    <row r="469" spans="2:19" hidden="1" x14ac:dyDescent="0.35">
      <c r="B469" s="5" t="s">
        <v>21</v>
      </c>
      <c r="C469" s="1">
        <v>784</v>
      </c>
      <c r="D469" s="5" t="s">
        <v>121</v>
      </c>
      <c r="E469" s="5" t="s">
        <v>14</v>
      </c>
      <c r="F469" s="6">
        <v>2.44</v>
      </c>
      <c r="H469" s="2">
        <v>46164</v>
      </c>
      <c r="I469" s="15">
        <f ca="1">TODAY()-Base_Relatório[[#This Row],[Plantio]]</f>
        <v>75</v>
      </c>
      <c r="K469" s="14">
        <v>46284</v>
      </c>
      <c r="L469" s="14" t="s">
        <v>189</v>
      </c>
      <c r="M469" s="3"/>
      <c r="N469" s="4"/>
      <c r="O469" s="5" t="s">
        <v>21</v>
      </c>
      <c r="P469" s="5" t="s">
        <v>21</v>
      </c>
      <c r="Q469" s="5" t="s">
        <v>21</v>
      </c>
      <c r="R469" s="2"/>
      <c r="S469" s="5" t="s">
        <v>126</v>
      </c>
    </row>
    <row r="470" spans="2:19" hidden="1" x14ac:dyDescent="0.35">
      <c r="B470" s="5" t="s">
        <v>21</v>
      </c>
      <c r="C470" s="1">
        <v>784</v>
      </c>
      <c r="D470" s="5" t="s">
        <v>121</v>
      </c>
      <c r="E470" s="5" t="s">
        <v>55</v>
      </c>
      <c r="F470" s="6">
        <v>49.7</v>
      </c>
      <c r="H470" s="2">
        <v>46146</v>
      </c>
      <c r="I470" s="15">
        <f ca="1">TODAY()-Base_Relatório[[#This Row],[Plantio]]</f>
        <v>93</v>
      </c>
      <c r="K470" s="14">
        <v>46266</v>
      </c>
      <c r="L470" s="14" t="s">
        <v>189</v>
      </c>
      <c r="M470" s="3"/>
      <c r="N470" s="4"/>
      <c r="O470" s="5" t="s">
        <v>21</v>
      </c>
      <c r="P470" s="5" t="s">
        <v>21</v>
      </c>
      <c r="Q470" s="5" t="s">
        <v>21</v>
      </c>
      <c r="R470" s="2"/>
      <c r="S470" s="5" t="s">
        <v>126</v>
      </c>
    </row>
    <row r="471" spans="2:19" hidden="1" x14ac:dyDescent="0.35">
      <c r="B471" s="5" t="s">
        <v>21</v>
      </c>
      <c r="C471" s="1">
        <v>784</v>
      </c>
      <c r="D471" s="5" t="s">
        <v>121</v>
      </c>
      <c r="E471" s="5" t="s">
        <v>46</v>
      </c>
      <c r="F471" s="6">
        <v>37.159999999999997</v>
      </c>
      <c r="H471" s="2">
        <v>46149</v>
      </c>
      <c r="I471" s="15">
        <f ca="1">TODAY()-Base_Relatório[[#This Row],[Plantio]]</f>
        <v>90</v>
      </c>
      <c r="K471" s="14">
        <v>46269</v>
      </c>
      <c r="L471" s="14" t="s">
        <v>189</v>
      </c>
      <c r="M471" s="3"/>
      <c r="N471" s="4"/>
      <c r="O471" s="5" t="s">
        <v>21</v>
      </c>
      <c r="P471" s="5" t="s">
        <v>21</v>
      </c>
      <c r="Q471" s="5" t="s">
        <v>21</v>
      </c>
      <c r="R471" s="2"/>
      <c r="S471" s="5" t="s">
        <v>126</v>
      </c>
    </row>
    <row r="472" spans="2:19" hidden="1" x14ac:dyDescent="0.35">
      <c r="B472" s="5" t="s">
        <v>21</v>
      </c>
      <c r="C472" s="1">
        <v>784</v>
      </c>
      <c r="D472" s="5" t="s">
        <v>121</v>
      </c>
      <c r="E472" s="5" t="s">
        <v>56</v>
      </c>
      <c r="F472" s="6">
        <v>38.159999999999997</v>
      </c>
      <c r="H472" s="2">
        <v>46133</v>
      </c>
      <c r="I472" s="15">
        <f ca="1">TODAY()-Base_Relatório[[#This Row],[Plantio]]</f>
        <v>106</v>
      </c>
      <c r="K472" s="14">
        <v>46253</v>
      </c>
      <c r="L472" s="14" t="s">
        <v>189</v>
      </c>
      <c r="M472" s="3"/>
      <c r="N472" s="4"/>
      <c r="O472" s="5" t="s">
        <v>21</v>
      </c>
      <c r="P472" s="5" t="s">
        <v>21</v>
      </c>
      <c r="Q472" s="5" t="s">
        <v>21</v>
      </c>
      <c r="R472" s="2"/>
      <c r="S472" s="5" t="s">
        <v>126</v>
      </c>
    </row>
    <row r="473" spans="2:19" hidden="1" x14ac:dyDescent="0.35">
      <c r="B473" s="5" t="s">
        <v>21</v>
      </c>
      <c r="C473" s="1">
        <v>784</v>
      </c>
      <c r="D473" s="5" t="s">
        <v>121</v>
      </c>
      <c r="E473" s="5" t="s">
        <v>27</v>
      </c>
      <c r="F473" s="6">
        <v>23.3</v>
      </c>
      <c r="H473" s="2">
        <v>46133</v>
      </c>
      <c r="I473" s="15">
        <f ca="1">TODAY()-Base_Relatório[[#This Row],[Plantio]]</f>
        <v>106</v>
      </c>
      <c r="K473" s="14">
        <v>46253</v>
      </c>
      <c r="L473" s="14" t="s">
        <v>189</v>
      </c>
      <c r="M473" s="3"/>
      <c r="N473" s="4"/>
      <c r="O473" s="5" t="s">
        <v>21</v>
      </c>
      <c r="P473" s="5" t="s">
        <v>21</v>
      </c>
      <c r="Q473" s="5" t="s">
        <v>21</v>
      </c>
      <c r="R473" s="2"/>
      <c r="S473" s="5" t="s">
        <v>126</v>
      </c>
    </row>
    <row r="474" spans="2:19" hidden="1" x14ac:dyDescent="0.35">
      <c r="B474" s="5" t="s">
        <v>21</v>
      </c>
      <c r="C474" s="1">
        <v>784</v>
      </c>
      <c r="D474" s="5" t="s">
        <v>121</v>
      </c>
      <c r="E474" s="5" t="s">
        <v>28</v>
      </c>
      <c r="F474" s="6">
        <v>23.73</v>
      </c>
      <c r="H474" s="2">
        <v>46129</v>
      </c>
      <c r="I474" s="15">
        <f ca="1">TODAY()-Base_Relatório[[#This Row],[Plantio]]</f>
        <v>110</v>
      </c>
      <c r="K474" s="14">
        <v>46249</v>
      </c>
      <c r="L474" s="14" t="s">
        <v>189</v>
      </c>
      <c r="M474" s="3"/>
      <c r="N474" s="4"/>
      <c r="O474" s="5" t="s">
        <v>21</v>
      </c>
      <c r="P474" s="5" t="s">
        <v>21</v>
      </c>
      <c r="Q474" s="5" t="s">
        <v>21</v>
      </c>
      <c r="R474" s="2"/>
      <c r="S474" s="5" t="s">
        <v>126</v>
      </c>
    </row>
    <row r="475" spans="2:19" hidden="1" x14ac:dyDescent="0.35">
      <c r="B475" s="5" t="s">
        <v>21</v>
      </c>
      <c r="C475" s="1">
        <v>784</v>
      </c>
      <c r="D475" s="5" t="s">
        <v>121</v>
      </c>
      <c r="E475" s="5" t="s">
        <v>29</v>
      </c>
      <c r="F475" s="6">
        <v>36.64</v>
      </c>
      <c r="H475" s="2">
        <v>46128</v>
      </c>
      <c r="I475" s="15">
        <f ca="1">TODAY()-Base_Relatório[[#This Row],[Plantio]]</f>
        <v>111</v>
      </c>
      <c r="K475" s="14">
        <v>46248</v>
      </c>
      <c r="L475" s="14" t="s">
        <v>189</v>
      </c>
      <c r="M475" s="3"/>
      <c r="N475" s="4"/>
      <c r="O475" s="5" t="s">
        <v>21</v>
      </c>
      <c r="P475" s="5" t="s">
        <v>21</v>
      </c>
      <c r="Q475" s="5" t="s">
        <v>21</v>
      </c>
      <c r="R475" s="2"/>
      <c r="S475" s="5" t="s">
        <v>126</v>
      </c>
    </row>
    <row r="476" spans="2:19" hidden="1" x14ac:dyDescent="0.35">
      <c r="B476" s="5" t="s">
        <v>21</v>
      </c>
      <c r="C476" s="1">
        <v>88</v>
      </c>
      <c r="D476" s="5" t="s">
        <v>122</v>
      </c>
      <c r="E476" s="5" t="s">
        <v>17</v>
      </c>
      <c r="F476" s="6">
        <v>37.340000000000003</v>
      </c>
      <c r="H476" s="2">
        <v>46127</v>
      </c>
      <c r="I476" s="15">
        <f ca="1">TODAY()-Base_Relatório[[#This Row],[Plantio]]</f>
        <v>112</v>
      </c>
      <c r="K476" s="14">
        <v>46247</v>
      </c>
      <c r="L476" s="14" t="s">
        <v>189</v>
      </c>
      <c r="M476" s="3"/>
      <c r="N476" s="4"/>
      <c r="O476" s="5" t="s">
        <v>21</v>
      </c>
      <c r="P476" s="5" t="s">
        <v>21</v>
      </c>
      <c r="Q476" s="5" t="s">
        <v>21</v>
      </c>
      <c r="R476" s="2"/>
      <c r="S476" s="5" t="s">
        <v>126</v>
      </c>
    </row>
    <row r="477" spans="2:19" hidden="1" x14ac:dyDescent="0.35">
      <c r="B477" s="5" t="s">
        <v>21</v>
      </c>
      <c r="C477" s="1">
        <v>88</v>
      </c>
      <c r="D477" s="5" t="s">
        <v>122</v>
      </c>
      <c r="E477" s="5" t="s">
        <v>20</v>
      </c>
      <c r="F477" s="6">
        <v>23.1</v>
      </c>
      <c r="H477" s="2">
        <v>46140</v>
      </c>
      <c r="I477" s="15">
        <f ca="1">TODAY()-Base_Relatório[[#This Row],[Plantio]]</f>
        <v>99</v>
      </c>
      <c r="K477" s="14">
        <v>46260</v>
      </c>
      <c r="L477" s="14" t="s">
        <v>189</v>
      </c>
      <c r="M477" s="3"/>
      <c r="N477" s="4"/>
      <c r="O477" s="5" t="s">
        <v>21</v>
      </c>
      <c r="P477" s="5" t="s">
        <v>21</v>
      </c>
      <c r="Q477" s="5" t="s">
        <v>21</v>
      </c>
      <c r="R477" s="2"/>
      <c r="S477" s="5" t="s">
        <v>126</v>
      </c>
    </row>
    <row r="478" spans="2:19" hidden="1" x14ac:dyDescent="0.35">
      <c r="B478" s="5" t="s">
        <v>21</v>
      </c>
      <c r="C478" s="1">
        <v>88</v>
      </c>
      <c r="D478" s="5" t="s">
        <v>122</v>
      </c>
      <c r="E478" s="5" t="s">
        <v>22</v>
      </c>
      <c r="F478" s="6">
        <v>22.78</v>
      </c>
      <c r="H478" s="2">
        <v>46139</v>
      </c>
      <c r="I478" s="15">
        <f ca="1">TODAY()-Base_Relatório[[#This Row],[Plantio]]</f>
        <v>100</v>
      </c>
      <c r="K478" s="14">
        <v>46259</v>
      </c>
      <c r="L478" s="14" t="s">
        <v>189</v>
      </c>
      <c r="M478" s="3"/>
      <c r="N478" s="4"/>
      <c r="O478" s="5" t="s">
        <v>21</v>
      </c>
      <c r="P478" s="5" t="s">
        <v>21</v>
      </c>
      <c r="Q478" s="5" t="s">
        <v>21</v>
      </c>
      <c r="R478" s="2"/>
      <c r="S478" s="5" t="s">
        <v>126</v>
      </c>
    </row>
    <row r="479" spans="2:19" hidden="1" x14ac:dyDescent="0.35">
      <c r="B479" s="5" t="s">
        <v>21</v>
      </c>
      <c r="C479" s="1">
        <v>88</v>
      </c>
      <c r="D479" s="5" t="s">
        <v>122</v>
      </c>
      <c r="E479" s="5" t="s">
        <v>23</v>
      </c>
      <c r="F479" s="6">
        <v>10.78</v>
      </c>
      <c r="H479" s="2">
        <v>46142</v>
      </c>
      <c r="I479" s="15">
        <f ca="1">TODAY()-Base_Relatório[[#This Row],[Plantio]]</f>
        <v>97</v>
      </c>
      <c r="K479" s="14">
        <v>46262</v>
      </c>
      <c r="L479" s="14" t="s">
        <v>189</v>
      </c>
      <c r="M479" s="3"/>
      <c r="N479" s="4"/>
      <c r="O479" s="5" t="s">
        <v>21</v>
      </c>
      <c r="P479" s="5" t="s">
        <v>21</v>
      </c>
      <c r="Q479" s="5" t="s">
        <v>21</v>
      </c>
      <c r="R479" s="2"/>
      <c r="S479" s="5" t="s">
        <v>126</v>
      </c>
    </row>
    <row r="480" spans="2:19" hidden="1" x14ac:dyDescent="0.35">
      <c r="B480" s="5" t="s">
        <v>21</v>
      </c>
      <c r="C480" s="1">
        <v>88</v>
      </c>
      <c r="D480" s="5" t="s">
        <v>122</v>
      </c>
      <c r="E480" s="5" t="s">
        <v>24</v>
      </c>
      <c r="F480" s="6">
        <v>22.57</v>
      </c>
      <c r="H480" s="2">
        <v>46141</v>
      </c>
      <c r="I480" s="15">
        <f ca="1">TODAY()-Base_Relatório[[#This Row],[Plantio]]</f>
        <v>98</v>
      </c>
      <c r="K480" s="14">
        <v>46261</v>
      </c>
      <c r="L480" s="14" t="s">
        <v>189</v>
      </c>
      <c r="M480" s="3"/>
      <c r="N480" s="4"/>
      <c r="O480" s="5" t="s">
        <v>21</v>
      </c>
      <c r="P480" s="5" t="s">
        <v>21</v>
      </c>
      <c r="Q480" s="5" t="s">
        <v>21</v>
      </c>
      <c r="R480" s="2"/>
      <c r="S480" s="5" t="s">
        <v>126</v>
      </c>
    </row>
    <row r="481" spans="2:19" hidden="1" x14ac:dyDescent="0.35">
      <c r="B481" s="5" t="s">
        <v>21</v>
      </c>
      <c r="C481" s="1">
        <v>88</v>
      </c>
      <c r="D481" s="5" t="s">
        <v>122</v>
      </c>
      <c r="E481" s="5" t="s">
        <v>31</v>
      </c>
      <c r="F481" s="6">
        <v>22.01</v>
      </c>
      <c r="H481" s="2">
        <v>46140</v>
      </c>
      <c r="I481" s="15">
        <f ca="1">TODAY()-Base_Relatório[[#This Row],[Plantio]]</f>
        <v>99</v>
      </c>
      <c r="K481" s="14">
        <v>46260</v>
      </c>
      <c r="L481" s="14" t="s">
        <v>189</v>
      </c>
      <c r="M481" s="3"/>
      <c r="N481" s="4"/>
      <c r="O481" s="5" t="s">
        <v>21</v>
      </c>
      <c r="P481" s="5" t="s">
        <v>21</v>
      </c>
      <c r="Q481" s="5" t="s">
        <v>21</v>
      </c>
      <c r="R481" s="2"/>
      <c r="S481" s="5" t="s">
        <v>126</v>
      </c>
    </row>
    <row r="482" spans="2:19" hidden="1" x14ac:dyDescent="0.35">
      <c r="B482" s="5" t="s">
        <v>21</v>
      </c>
      <c r="C482" s="1">
        <v>88</v>
      </c>
      <c r="D482" s="5" t="s">
        <v>122</v>
      </c>
      <c r="E482" s="5" t="s">
        <v>11</v>
      </c>
      <c r="F482" s="6">
        <v>16.39</v>
      </c>
      <c r="H482" s="2">
        <v>46141</v>
      </c>
      <c r="I482" s="15">
        <f ca="1">TODAY()-Base_Relatório[[#This Row],[Plantio]]</f>
        <v>98</v>
      </c>
      <c r="K482" s="14">
        <v>46261</v>
      </c>
      <c r="L482" s="14" t="s">
        <v>189</v>
      </c>
      <c r="M482" s="3"/>
      <c r="N482" s="4"/>
      <c r="O482" s="5" t="s">
        <v>21</v>
      </c>
      <c r="P482" s="5" t="s">
        <v>21</v>
      </c>
      <c r="Q482" s="5" t="s">
        <v>21</v>
      </c>
      <c r="R482" s="2"/>
      <c r="S482" s="5" t="s">
        <v>126</v>
      </c>
    </row>
    <row r="483" spans="2:19" hidden="1" x14ac:dyDescent="0.35">
      <c r="B483" s="5" t="s">
        <v>21</v>
      </c>
      <c r="C483" s="1">
        <v>88</v>
      </c>
      <c r="D483" s="5" t="s">
        <v>122</v>
      </c>
      <c r="E483" s="5" t="s">
        <v>32</v>
      </c>
      <c r="F483" s="6">
        <v>5.65</v>
      </c>
      <c r="H483" s="2">
        <v>46146</v>
      </c>
      <c r="I483" s="15">
        <f ca="1">TODAY()-Base_Relatório[[#This Row],[Plantio]]</f>
        <v>93</v>
      </c>
      <c r="K483" s="14">
        <v>46266</v>
      </c>
      <c r="L483" s="14" t="s">
        <v>189</v>
      </c>
      <c r="M483" s="3"/>
      <c r="N483" s="4"/>
      <c r="O483" s="5" t="s">
        <v>21</v>
      </c>
      <c r="P483" s="5" t="s">
        <v>21</v>
      </c>
      <c r="Q483" s="5" t="s">
        <v>21</v>
      </c>
      <c r="R483" s="2"/>
      <c r="S483" s="5" t="s">
        <v>126</v>
      </c>
    </row>
    <row r="484" spans="2:19" hidden="1" x14ac:dyDescent="0.35">
      <c r="B484" s="5" t="s">
        <v>21</v>
      </c>
      <c r="C484" s="1">
        <v>88</v>
      </c>
      <c r="D484" s="5" t="s">
        <v>122</v>
      </c>
      <c r="E484" s="5" t="s">
        <v>26</v>
      </c>
      <c r="F484" s="6">
        <v>18.670000000000002</v>
      </c>
      <c r="H484" s="2">
        <v>46146</v>
      </c>
      <c r="I484" s="15">
        <f ca="1">TODAY()-Base_Relatório[[#This Row],[Plantio]]</f>
        <v>93</v>
      </c>
      <c r="K484" s="14">
        <v>46266</v>
      </c>
      <c r="L484" s="14" t="s">
        <v>189</v>
      </c>
      <c r="M484" s="3"/>
      <c r="N484" s="4"/>
      <c r="O484" s="5" t="s">
        <v>21</v>
      </c>
      <c r="P484" s="5" t="s">
        <v>21</v>
      </c>
      <c r="Q484" s="5" t="s">
        <v>21</v>
      </c>
      <c r="R484" s="2"/>
      <c r="S484" s="5" t="s">
        <v>126</v>
      </c>
    </row>
    <row r="485" spans="2:19" hidden="1" x14ac:dyDescent="0.35">
      <c r="B485" s="5" t="s">
        <v>21</v>
      </c>
      <c r="C485" s="1">
        <v>88</v>
      </c>
      <c r="D485" s="5" t="s">
        <v>122</v>
      </c>
      <c r="E485" s="5" t="s">
        <v>49</v>
      </c>
      <c r="F485" s="6">
        <v>16.52</v>
      </c>
      <c r="H485" s="2">
        <v>46142</v>
      </c>
      <c r="I485" s="15">
        <f ca="1">TODAY()-Base_Relatório[[#This Row],[Plantio]]</f>
        <v>97</v>
      </c>
      <c r="K485" s="14">
        <v>46262</v>
      </c>
      <c r="L485" s="14" t="s">
        <v>189</v>
      </c>
      <c r="M485" s="3"/>
      <c r="N485" s="4"/>
      <c r="O485" s="5" t="s">
        <v>21</v>
      </c>
      <c r="P485" s="5" t="s">
        <v>21</v>
      </c>
      <c r="Q485" s="5" t="s">
        <v>21</v>
      </c>
      <c r="R485" s="2"/>
      <c r="S485" s="5" t="s">
        <v>126</v>
      </c>
    </row>
    <row r="486" spans="2:19" hidden="1" x14ac:dyDescent="0.35">
      <c r="B486" s="5" t="s">
        <v>21</v>
      </c>
      <c r="C486" s="1">
        <v>88</v>
      </c>
      <c r="D486" s="5" t="s">
        <v>122</v>
      </c>
      <c r="E486" s="5" t="s">
        <v>52</v>
      </c>
      <c r="F486" s="6">
        <v>17.28</v>
      </c>
      <c r="H486" s="2">
        <v>46141</v>
      </c>
      <c r="I486" s="15">
        <f ca="1">TODAY()-Base_Relatório[[#This Row],[Plantio]]</f>
        <v>98</v>
      </c>
      <c r="K486" s="14">
        <v>46261</v>
      </c>
      <c r="L486" s="14" t="s">
        <v>189</v>
      </c>
      <c r="M486" s="3"/>
      <c r="N486" s="4"/>
      <c r="O486" s="5" t="s">
        <v>21</v>
      </c>
      <c r="P486" s="5" t="s">
        <v>21</v>
      </c>
      <c r="Q486" s="5" t="s">
        <v>21</v>
      </c>
      <c r="R486" s="2"/>
      <c r="S486" s="5" t="s">
        <v>126</v>
      </c>
    </row>
    <row r="487" spans="2:19" hidden="1" x14ac:dyDescent="0.35">
      <c r="B487" s="5" t="s">
        <v>21</v>
      </c>
      <c r="C487" s="1">
        <v>88</v>
      </c>
      <c r="D487" s="5" t="s">
        <v>122</v>
      </c>
      <c r="E487" s="5" t="s">
        <v>54</v>
      </c>
      <c r="F487" s="6">
        <v>46.71</v>
      </c>
      <c r="H487" s="2">
        <v>46127</v>
      </c>
      <c r="I487" s="15">
        <f ca="1">TODAY()-Base_Relatório[[#This Row],[Plantio]]</f>
        <v>112</v>
      </c>
      <c r="K487" s="14">
        <v>46247</v>
      </c>
      <c r="L487" s="14" t="s">
        <v>189</v>
      </c>
      <c r="M487" s="3"/>
      <c r="N487" s="4"/>
      <c r="O487" s="5" t="s">
        <v>21</v>
      </c>
      <c r="P487" s="5" t="s">
        <v>21</v>
      </c>
      <c r="Q487" s="5" t="s">
        <v>21</v>
      </c>
      <c r="R487" s="2"/>
      <c r="S487" s="5" t="s">
        <v>126</v>
      </c>
    </row>
    <row r="488" spans="2:19" hidden="1" x14ac:dyDescent="0.35">
      <c r="B488" s="5" t="s">
        <v>21</v>
      </c>
      <c r="C488" s="1">
        <v>88</v>
      </c>
      <c r="D488" s="5" t="s">
        <v>122</v>
      </c>
      <c r="E488" s="5" t="s">
        <v>84</v>
      </c>
      <c r="F488" s="6">
        <v>41.29</v>
      </c>
      <c r="H488" s="2">
        <v>46147</v>
      </c>
      <c r="I488" s="15">
        <f ca="1">TODAY()-Base_Relatório[[#This Row],[Plantio]]</f>
        <v>92</v>
      </c>
      <c r="K488" s="14">
        <v>46267</v>
      </c>
      <c r="L488" s="14" t="s">
        <v>189</v>
      </c>
      <c r="M488" s="3"/>
      <c r="N488" s="4"/>
      <c r="O488" s="5" t="s">
        <v>21</v>
      </c>
      <c r="P488" s="5" t="s">
        <v>21</v>
      </c>
      <c r="Q488" s="5" t="s">
        <v>21</v>
      </c>
      <c r="R488" s="2"/>
      <c r="S488" s="5" t="s">
        <v>126</v>
      </c>
    </row>
    <row r="489" spans="2:19" hidden="1" x14ac:dyDescent="0.35">
      <c r="B489" s="5" t="s">
        <v>21</v>
      </c>
      <c r="C489" s="1">
        <v>88</v>
      </c>
      <c r="D489" s="5" t="s">
        <v>122</v>
      </c>
      <c r="E489" s="5" t="s">
        <v>35</v>
      </c>
      <c r="F489" s="6">
        <v>13.09</v>
      </c>
      <c r="H489" s="2">
        <v>46147</v>
      </c>
      <c r="I489" s="15">
        <f ca="1">TODAY()-Base_Relatório[[#This Row],[Plantio]]</f>
        <v>92</v>
      </c>
      <c r="K489" s="14">
        <v>46267</v>
      </c>
      <c r="L489" s="14" t="s">
        <v>189</v>
      </c>
      <c r="M489" s="3"/>
      <c r="N489" s="4"/>
      <c r="O489" s="5" t="s">
        <v>21</v>
      </c>
      <c r="P489" s="5" t="s">
        <v>21</v>
      </c>
      <c r="Q489" s="5" t="s">
        <v>21</v>
      </c>
      <c r="R489" s="2"/>
      <c r="S489" s="5" t="s">
        <v>126</v>
      </c>
    </row>
    <row r="490" spans="2:19" hidden="1" x14ac:dyDescent="0.35">
      <c r="B490" s="5" t="s">
        <v>21</v>
      </c>
      <c r="C490" s="1">
        <v>88</v>
      </c>
      <c r="D490" s="5" t="s">
        <v>122</v>
      </c>
      <c r="E490" s="5" t="s">
        <v>36</v>
      </c>
      <c r="F490" s="6">
        <v>33.049999999999997</v>
      </c>
      <c r="H490" s="2">
        <v>46150</v>
      </c>
      <c r="I490" s="15">
        <f ca="1">TODAY()-Base_Relatório[[#This Row],[Plantio]]</f>
        <v>89</v>
      </c>
      <c r="K490" s="14">
        <v>46270</v>
      </c>
      <c r="L490" s="14" t="s">
        <v>189</v>
      </c>
      <c r="M490" s="3"/>
      <c r="N490" s="4"/>
      <c r="O490" s="5" t="s">
        <v>21</v>
      </c>
      <c r="P490" s="5" t="s">
        <v>21</v>
      </c>
      <c r="Q490" s="5" t="s">
        <v>21</v>
      </c>
      <c r="R490" s="2"/>
      <c r="S490" s="5" t="s">
        <v>126</v>
      </c>
    </row>
    <row r="491" spans="2:19" hidden="1" x14ac:dyDescent="0.35">
      <c r="B491" s="5" t="s">
        <v>21</v>
      </c>
      <c r="C491" s="1">
        <v>88</v>
      </c>
      <c r="D491" s="5" t="s">
        <v>122</v>
      </c>
      <c r="E491" s="5" t="s">
        <v>99</v>
      </c>
      <c r="F491" s="6">
        <v>32.71</v>
      </c>
      <c r="H491" s="2">
        <v>46147</v>
      </c>
      <c r="I491" s="15">
        <f ca="1">TODAY()-Base_Relatório[[#This Row],[Plantio]]</f>
        <v>92</v>
      </c>
      <c r="K491" s="14">
        <v>46267</v>
      </c>
      <c r="L491" s="14" t="s">
        <v>189</v>
      </c>
      <c r="M491" s="3"/>
      <c r="N491" s="4"/>
      <c r="O491" s="5" t="s">
        <v>21</v>
      </c>
      <c r="P491" s="5" t="s">
        <v>21</v>
      </c>
      <c r="Q491" s="5" t="s">
        <v>21</v>
      </c>
      <c r="R491" s="2"/>
      <c r="S491" s="5" t="s">
        <v>126</v>
      </c>
    </row>
    <row r="492" spans="2:19" hidden="1" x14ac:dyDescent="0.35">
      <c r="B492" s="5" t="s">
        <v>21</v>
      </c>
      <c r="C492" s="1">
        <v>88</v>
      </c>
      <c r="D492" s="5" t="s">
        <v>122</v>
      </c>
      <c r="E492" s="5" t="s">
        <v>13</v>
      </c>
      <c r="F492" s="6">
        <v>49.14</v>
      </c>
      <c r="H492" s="2">
        <v>46129</v>
      </c>
      <c r="I492" s="15">
        <f ca="1">TODAY()-Base_Relatório[[#This Row],[Plantio]]</f>
        <v>110</v>
      </c>
      <c r="K492" s="14">
        <v>46249</v>
      </c>
      <c r="L492" s="14" t="s">
        <v>189</v>
      </c>
      <c r="M492" s="3"/>
      <c r="N492" s="4"/>
      <c r="O492" s="5" t="s">
        <v>21</v>
      </c>
      <c r="P492" s="5" t="s">
        <v>21</v>
      </c>
      <c r="Q492" s="5" t="s">
        <v>21</v>
      </c>
      <c r="R492" s="2"/>
      <c r="S492" s="5" t="s">
        <v>126</v>
      </c>
    </row>
    <row r="493" spans="2:19" hidden="1" x14ac:dyDescent="0.35">
      <c r="B493" s="5" t="s">
        <v>21</v>
      </c>
      <c r="C493" s="1">
        <v>88</v>
      </c>
      <c r="D493" s="5" t="s">
        <v>122</v>
      </c>
      <c r="E493" s="5" t="s">
        <v>46</v>
      </c>
      <c r="F493" s="6">
        <v>8.81</v>
      </c>
      <c r="H493" s="2">
        <v>46129</v>
      </c>
      <c r="I493" s="15">
        <f ca="1">TODAY()-Base_Relatório[[#This Row],[Plantio]]</f>
        <v>110</v>
      </c>
      <c r="K493" s="14">
        <v>46249</v>
      </c>
      <c r="L493" s="14" t="s">
        <v>189</v>
      </c>
      <c r="M493" s="3"/>
      <c r="N493" s="4"/>
      <c r="O493" s="5" t="s">
        <v>21</v>
      </c>
      <c r="P493" s="5" t="s">
        <v>21</v>
      </c>
      <c r="Q493" s="5" t="s">
        <v>21</v>
      </c>
      <c r="R493" s="2"/>
      <c r="S493" s="5" t="s">
        <v>126</v>
      </c>
    </row>
    <row r="494" spans="2:19" hidden="1" x14ac:dyDescent="0.35">
      <c r="B494" s="5" t="s">
        <v>21</v>
      </c>
      <c r="C494" s="1">
        <v>88</v>
      </c>
      <c r="D494" s="5" t="s">
        <v>122</v>
      </c>
      <c r="E494" s="5" t="s">
        <v>56</v>
      </c>
      <c r="F494" s="6">
        <v>37.299999999999997</v>
      </c>
      <c r="H494" s="2">
        <v>46132</v>
      </c>
      <c r="I494" s="15">
        <f ca="1">TODAY()-Base_Relatório[[#This Row],[Plantio]]</f>
        <v>107</v>
      </c>
      <c r="K494" s="14">
        <v>46252</v>
      </c>
      <c r="L494" s="14" t="s">
        <v>189</v>
      </c>
      <c r="M494" s="3"/>
      <c r="N494" s="4"/>
      <c r="O494" s="5" t="s">
        <v>21</v>
      </c>
      <c r="P494" s="5" t="s">
        <v>21</v>
      </c>
      <c r="Q494" s="5" t="s">
        <v>21</v>
      </c>
      <c r="R494" s="2"/>
      <c r="S494" s="5" t="s">
        <v>126</v>
      </c>
    </row>
    <row r="495" spans="2:19" hidden="1" x14ac:dyDescent="0.35">
      <c r="B495" s="5" t="s">
        <v>21</v>
      </c>
      <c r="C495" s="1">
        <v>88</v>
      </c>
      <c r="D495" s="5" t="s">
        <v>122</v>
      </c>
      <c r="E495" s="5" t="s">
        <v>27</v>
      </c>
      <c r="F495" s="6">
        <v>41.06</v>
      </c>
      <c r="H495" s="2">
        <v>46133</v>
      </c>
      <c r="I495" s="15">
        <f ca="1">TODAY()-Base_Relatório[[#This Row],[Plantio]]</f>
        <v>106</v>
      </c>
      <c r="K495" s="14">
        <v>46253</v>
      </c>
      <c r="L495" s="14" t="s">
        <v>189</v>
      </c>
      <c r="M495" s="3"/>
      <c r="N495" s="4"/>
      <c r="O495" s="5" t="s">
        <v>21</v>
      </c>
      <c r="P495" s="5" t="s">
        <v>21</v>
      </c>
      <c r="Q495" s="5" t="s">
        <v>21</v>
      </c>
      <c r="R495" s="2"/>
      <c r="S495" s="5" t="s">
        <v>126</v>
      </c>
    </row>
    <row r="496" spans="2:19" hidden="1" x14ac:dyDescent="0.35">
      <c r="B496" s="5" t="s">
        <v>21</v>
      </c>
      <c r="C496" s="1">
        <v>88</v>
      </c>
      <c r="D496" s="5" t="s">
        <v>122</v>
      </c>
      <c r="E496" s="5" t="s">
        <v>28</v>
      </c>
      <c r="F496" s="6">
        <v>39.9</v>
      </c>
      <c r="H496" s="2">
        <v>46133</v>
      </c>
      <c r="I496" s="15">
        <f ca="1">TODAY()-Base_Relatório[[#This Row],[Plantio]]</f>
        <v>106</v>
      </c>
      <c r="K496" s="14">
        <v>46253</v>
      </c>
      <c r="L496" s="14" t="s">
        <v>189</v>
      </c>
      <c r="M496" s="3"/>
      <c r="N496" s="4"/>
      <c r="O496" s="5" t="s">
        <v>21</v>
      </c>
      <c r="P496" s="5" t="s">
        <v>21</v>
      </c>
      <c r="Q496" s="5" t="s">
        <v>21</v>
      </c>
      <c r="R496" s="2"/>
      <c r="S496" s="5" t="s">
        <v>126</v>
      </c>
    </row>
    <row r="497" spans="2:19" hidden="1" x14ac:dyDescent="0.35">
      <c r="B497" s="5" t="s">
        <v>21</v>
      </c>
      <c r="C497" s="1">
        <v>88</v>
      </c>
      <c r="D497" s="5" t="s">
        <v>122</v>
      </c>
      <c r="E497" s="5" t="s">
        <v>29</v>
      </c>
      <c r="F497" s="6">
        <v>7.97</v>
      </c>
      <c r="H497" s="2">
        <v>46136</v>
      </c>
      <c r="I497" s="15">
        <f ca="1">TODAY()-Base_Relatório[[#This Row],[Plantio]]</f>
        <v>103</v>
      </c>
      <c r="K497" s="14">
        <v>46256</v>
      </c>
      <c r="L497" s="14" t="s">
        <v>189</v>
      </c>
      <c r="M497" s="3"/>
      <c r="N497" s="4"/>
      <c r="O497" s="5" t="s">
        <v>21</v>
      </c>
      <c r="P497" s="5" t="s">
        <v>21</v>
      </c>
      <c r="Q497" s="5" t="s">
        <v>21</v>
      </c>
      <c r="R497" s="2"/>
      <c r="S497" s="5" t="s">
        <v>126</v>
      </c>
    </row>
    <row r="498" spans="2:19" hidden="1" x14ac:dyDescent="0.35">
      <c r="B498" s="5" t="s">
        <v>21</v>
      </c>
      <c r="C498" s="1">
        <v>88</v>
      </c>
      <c r="D498" s="5" t="s">
        <v>122</v>
      </c>
      <c r="E498" s="5" t="s">
        <v>147</v>
      </c>
      <c r="F498" s="6">
        <v>7.59</v>
      </c>
      <c r="H498" s="2">
        <v>46146</v>
      </c>
      <c r="I498" s="15">
        <f ca="1">TODAY()-Base_Relatório[[#This Row],[Plantio]]</f>
        <v>93</v>
      </c>
      <c r="K498" s="14">
        <v>46266</v>
      </c>
      <c r="L498" s="14" t="s">
        <v>189</v>
      </c>
      <c r="M498" s="3"/>
      <c r="N498" s="4"/>
      <c r="O498" s="5" t="s">
        <v>21</v>
      </c>
      <c r="P498" s="5" t="s">
        <v>21</v>
      </c>
      <c r="Q498" s="5" t="s">
        <v>21</v>
      </c>
      <c r="R498" s="2"/>
      <c r="S498" s="5" t="s">
        <v>126</v>
      </c>
    </row>
    <row r="499" spans="2:19" x14ac:dyDescent="0.35">
      <c r="B499" s="5" t="s">
        <v>21</v>
      </c>
      <c r="C499" s="1">
        <v>183</v>
      </c>
      <c r="D499" s="5" t="s">
        <v>148</v>
      </c>
      <c r="E499" s="5" t="s">
        <v>17</v>
      </c>
      <c r="F499" s="6">
        <v>40.950000000000003</v>
      </c>
      <c r="H499" s="2">
        <v>46141</v>
      </c>
      <c r="I499" s="15">
        <f ca="1">TODAY()-Base_Relatório[[#This Row],[Plantio]]</f>
        <v>98</v>
      </c>
      <c r="K499" s="14">
        <v>46261</v>
      </c>
      <c r="L499" s="14" t="s">
        <v>189</v>
      </c>
      <c r="M499" s="3"/>
      <c r="N499" s="4"/>
      <c r="O499" s="5" t="s">
        <v>21</v>
      </c>
      <c r="P499" s="5" t="s">
        <v>21</v>
      </c>
      <c r="Q499" s="5" t="s">
        <v>21</v>
      </c>
      <c r="R499" s="2"/>
      <c r="S499" s="5" t="s">
        <v>127</v>
      </c>
    </row>
    <row r="500" spans="2:19" x14ac:dyDescent="0.35">
      <c r="B500" s="5" t="s">
        <v>21</v>
      </c>
      <c r="C500" s="1">
        <v>183</v>
      </c>
      <c r="D500" s="5" t="s">
        <v>148</v>
      </c>
      <c r="E500" s="5" t="s">
        <v>54</v>
      </c>
      <c r="F500" s="6">
        <v>39.08</v>
      </c>
      <c r="H500" s="2">
        <v>46146</v>
      </c>
      <c r="I500" s="15">
        <f ca="1">TODAY()-Base_Relatório[[#This Row],[Plantio]]</f>
        <v>93</v>
      </c>
      <c r="K500" s="14">
        <v>46266</v>
      </c>
      <c r="L500" s="14" t="s">
        <v>189</v>
      </c>
      <c r="M500" s="3"/>
      <c r="N500" s="4"/>
      <c r="O500" s="5" t="s">
        <v>21</v>
      </c>
      <c r="P500" s="5" t="s">
        <v>21</v>
      </c>
      <c r="Q500" s="5" t="s">
        <v>21</v>
      </c>
      <c r="R500" s="2"/>
      <c r="S500" s="5" t="s">
        <v>127</v>
      </c>
    </row>
    <row r="501" spans="2:19" x14ac:dyDescent="0.35">
      <c r="B501" s="5" t="s">
        <v>21</v>
      </c>
      <c r="C501" s="1">
        <v>183</v>
      </c>
      <c r="D501" s="5" t="s">
        <v>148</v>
      </c>
      <c r="E501" s="5" t="s">
        <v>13</v>
      </c>
      <c r="F501" s="6">
        <v>31.61</v>
      </c>
      <c r="H501" s="2">
        <v>46149</v>
      </c>
      <c r="I501" s="15">
        <f ca="1">TODAY()-Base_Relatório[[#This Row],[Plantio]]</f>
        <v>90</v>
      </c>
      <c r="K501" s="14">
        <v>46269</v>
      </c>
      <c r="L501" s="14" t="s">
        <v>189</v>
      </c>
      <c r="M501" s="3"/>
      <c r="N501" s="4"/>
      <c r="O501" s="5" t="s">
        <v>21</v>
      </c>
      <c r="P501" s="5" t="s">
        <v>21</v>
      </c>
      <c r="Q501" s="5" t="s">
        <v>21</v>
      </c>
      <c r="R501" s="2"/>
      <c r="S501" s="5" t="s">
        <v>127</v>
      </c>
    </row>
    <row r="502" spans="2:19" x14ac:dyDescent="0.35">
      <c r="B502" s="5" t="s">
        <v>21</v>
      </c>
      <c r="C502" s="1">
        <v>183</v>
      </c>
      <c r="D502" s="5" t="s">
        <v>148</v>
      </c>
      <c r="E502" s="5" t="s">
        <v>55</v>
      </c>
      <c r="F502" s="6">
        <v>29.63</v>
      </c>
      <c r="H502" s="2">
        <v>46163</v>
      </c>
      <c r="I502" s="15">
        <f ca="1">TODAY()-Base_Relatório[[#This Row],[Plantio]]</f>
        <v>76</v>
      </c>
      <c r="K502" s="14">
        <v>46283</v>
      </c>
      <c r="L502" s="14" t="s">
        <v>189</v>
      </c>
      <c r="M502" s="3"/>
      <c r="N502" s="4"/>
      <c r="O502" s="5" t="s">
        <v>21</v>
      </c>
      <c r="P502" s="5" t="s">
        <v>21</v>
      </c>
      <c r="Q502" s="5" t="s">
        <v>21</v>
      </c>
      <c r="R502" s="2"/>
      <c r="S502" s="5" t="s">
        <v>127</v>
      </c>
    </row>
    <row r="503" spans="2:19" x14ac:dyDescent="0.35">
      <c r="B503" s="5" t="s">
        <v>21</v>
      </c>
      <c r="C503" s="1">
        <v>183</v>
      </c>
      <c r="D503" s="5" t="s">
        <v>148</v>
      </c>
      <c r="E503" s="5" t="s">
        <v>169</v>
      </c>
      <c r="F503" s="6">
        <v>36.380000000000003</v>
      </c>
      <c r="H503" s="2">
        <v>46168</v>
      </c>
      <c r="I503" s="15">
        <f ca="1">TODAY()-Base_Relatório[[#This Row],[Plantio]]</f>
        <v>71</v>
      </c>
      <c r="K503" s="14">
        <v>46288</v>
      </c>
      <c r="L503" s="14" t="s">
        <v>189</v>
      </c>
      <c r="M503" s="3"/>
      <c r="N503" s="4"/>
      <c r="O503" s="5" t="s">
        <v>21</v>
      </c>
      <c r="P503" s="5" t="s">
        <v>21</v>
      </c>
      <c r="Q503" s="5" t="s">
        <v>21</v>
      </c>
      <c r="R503" s="2"/>
      <c r="S503" s="5" t="s">
        <v>127</v>
      </c>
    </row>
    <row r="504" spans="2:19" x14ac:dyDescent="0.35">
      <c r="B504" s="5" t="s">
        <v>21</v>
      </c>
      <c r="C504" s="1">
        <v>176</v>
      </c>
      <c r="D504" s="5" t="s">
        <v>149</v>
      </c>
      <c r="E504" s="5" t="s">
        <v>17</v>
      </c>
      <c r="F504" s="6">
        <v>41.79</v>
      </c>
      <c r="H504" s="2">
        <v>46169</v>
      </c>
      <c r="I504" s="15">
        <f ca="1">TODAY()-Base_Relatório[[#This Row],[Plantio]]</f>
        <v>70</v>
      </c>
      <c r="K504" s="14">
        <v>46289</v>
      </c>
      <c r="L504" s="14" t="s">
        <v>189</v>
      </c>
      <c r="M504" s="3"/>
      <c r="N504" s="4"/>
      <c r="O504" s="5" t="s">
        <v>21</v>
      </c>
      <c r="P504" s="5" t="s">
        <v>21</v>
      </c>
      <c r="Q504" s="5" t="s">
        <v>21</v>
      </c>
      <c r="R504" s="2"/>
      <c r="S504" s="5" t="s">
        <v>127</v>
      </c>
    </row>
    <row r="505" spans="2:19" x14ac:dyDescent="0.35">
      <c r="B505" s="5" t="s">
        <v>21</v>
      </c>
      <c r="C505" s="1">
        <v>176</v>
      </c>
      <c r="D505" s="5" t="s">
        <v>149</v>
      </c>
      <c r="E505" s="5" t="s">
        <v>20</v>
      </c>
      <c r="F505" s="6">
        <v>48.19</v>
      </c>
      <c r="H505" s="2">
        <v>46172</v>
      </c>
      <c r="I505" s="15">
        <f ca="1">TODAY()-Base_Relatório[[#This Row],[Plantio]]</f>
        <v>67</v>
      </c>
      <c r="K505" s="14">
        <v>46292</v>
      </c>
      <c r="L505" s="14" t="s">
        <v>189</v>
      </c>
      <c r="M505" s="3"/>
      <c r="N505" s="4"/>
      <c r="O505" s="5" t="s">
        <v>21</v>
      </c>
      <c r="P505" s="5" t="s">
        <v>21</v>
      </c>
      <c r="Q505" s="5" t="s">
        <v>21</v>
      </c>
      <c r="R505" s="2"/>
      <c r="S505" s="5" t="s">
        <v>127</v>
      </c>
    </row>
    <row r="506" spans="2:19" x14ac:dyDescent="0.35">
      <c r="B506" s="5" t="s">
        <v>21</v>
      </c>
      <c r="C506" s="1">
        <v>176</v>
      </c>
      <c r="D506" s="5" t="s">
        <v>149</v>
      </c>
      <c r="E506" s="5" t="s">
        <v>114</v>
      </c>
      <c r="F506" s="6">
        <v>32.75</v>
      </c>
      <c r="H506" s="2">
        <v>46169</v>
      </c>
      <c r="I506" s="15">
        <f ca="1">TODAY()-Base_Relatório[[#This Row],[Plantio]]</f>
        <v>70</v>
      </c>
      <c r="K506" s="14">
        <v>46289</v>
      </c>
      <c r="L506" s="14" t="s">
        <v>189</v>
      </c>
      <c r="M506" s="3"/>
      <c r="N506" s="4"/>
      <c r="O506" s="5" t="s">
        <v>21</v>
      </c>
      <c r="P506" s="5" t="s">
        <v>21</v>
      </c>
      <c r="Q506" s="5" t="s">
        <v>21</v>
      </c>
      <c r="R506" s="2"/>
      <c r="S506" s="5" t="s">
        <v>127</v>
      </c>
    </row>
    <row r="507" spans="2:19" x14ac:dyDescent="0.35">
      <c r="B507" s="5" t="s">
        <v>21</v>
      </c>
      <c r="C507" s="1">
        <v>176</v>
      </c>
      <c r="D507" s="5" t="s">
        <v>149</v>
      </c>
      <c r="E507" s="5" t="s">
        <v>25</v>
      </c>
      <c r="F507" s="6">
        <v>15.32</v>
      </c>
      <c r="H507" s="2">
        <v>46163</v>
      </c>
      <c r="I507" s="15">
        <f ca="1">TODAY()-Base_Relatório[[#This Row],[Plantio]]</f>
        <v>76</v>
      </c>
      <c r="K507" s="14">
        <v>46283</v>
      </c>
      <c r="L507" s="14" t="s">
        <v>189</v>
      </c>
      <c r="M507" s="3"/>
      <c r="N507" s="4"/>
      <c r="O507" s="5" t="s">
        <v>21</v>
      </c>
      <c r="P507" s="5" t="s">
        <v>21</v>
      </c>
      <c r="Q507" s="5" t="s">
        <v>21</v>
      </c>
      <c r="R507" s="2"/>
      <c r="S507" s="5" t="s">
        <v>127</v>
      </c>
    </row>
    <row r="508" spans="2:19" x14ac:dyDescent="0.35">
      <c r="B508" s="5" t="s">
        <v>21</v>
      </c>
      <c r="C508" s="1">
        <v>176</v>
      </c>
      <c r="D508" s="5" t="s">
        <v>149</v>
      </c>
      <c r="E508" s="5" t="s">
        <v>48</v>
      </c>
      <c r="F508" s="6">
        <v>35.97</v>
      </c>
      <c r="H508" s="2">
        <v>46178</v>
      </c>
      <c r="I508" s="15">
        <f ca="1">TODAY()-Base_Relatório[[#This Row],[Plantio]]</f>
        <v>61</v>
      </c>
      <c r="K508" s="14">
        <v>46298</v>
      </c>
      <c r="L508" s="14" t="s">
        <v>189</v>
      </c>
      <c r="M508" s="3"/>
      <c r="N508" s="4"/>
      <c r="O508" s="5" t="s">
        <v>21</v>
      </c>
      <c r="P508" s="5" t="s">
        <v>21</v>
      </c>
      <c r="Q508" s="5" t="s">
        <v>21</v>
      </c>
      <c r="R508" s="2"/>
      <c r="S508" s="5" t="s">
        <v>127</v>
      </c>
    </row>
    <row r="509" spans="2:19" x14ac:dyDescent="0.35">
      <c r="B509" s="5" t="s">
        <v>21</v>
      </c>
      <c r="C509" s="1">
        <v>176</v>
      </c>
      <c r="D509" s="5" t="s">
        <v>149</v>
      </c>
      <c r="E509" s="5" t="s">
        <v>54</v>
      </c>
      <c r="F509" s="6">
        <v>38.31</v>
      </c>
      <c r="H509" s="2">
        <v>46168</v>
      </c>
      <c r="I509" s="15">
        <f ca="1">TODAY()-Base_Relatório[[#This Row],[Plantio]]</f>
        <v>71</v>
      </c>
      <c r="K509" s="14">
        <v>46288</v>
      </c>
      <c r="L509" s="14" t="s">
        <v>189</v>
      </c>
      <c r="M509" s="3"/>
      <c r="N509" s="4"/>
      <c r="O509" s="5" t="s">
        <v>21</v>
      </c>
      <c r="P509" s="5" t="s">
        <v>21</v>
      </c>
      <c r="Q509" s="5" t="s">
        <v>21</v>
      </c>
      <c r="R509" s="2"/>
      <c r="S509" s="5" t="s">
        <v>127</v>
      </c>
    </row>
    <row r="510" spans="2:19" x14ac:dyDescent="0.35">
      <c r="B510" s="5" t="s">
        <v>21</v>
      </c>
      <c r="C510" s="1">
        <v>176</v>
      </c>
      <c r="D510" s="5" t="s">
        <v>149</v>
      </c>
      <c r="E510" s="5" t="s">
        <v>84</v>
      </c>
      <c r="F510" s="6">
        <v>24.08</v>
      </c>
      <c r="H510" s="2">
        <v>46161</v>
      </c>
      <c r="I510" s="15">
        <f ca="1">TODAY()-Base_Relatório[[#This Row],[Plantio]]</f>
        <v>78</v>
      </c>
      <c r="K510" s="14">
        <v>46281</v>
      </c>
      <c r="L510" s="14" t="s">
        <v>189</v>
      </c>
      <c r="M510" s="3"/>
      <c r="N510" s="4"/>
      <c r="O510" s="5" t="s">
        <v>21</v>
      </c>
      <c r="P510" s="5" t="s">
        <v>21</v>
      </c>
      <c r="Q510" s="5" t="s">
        <v>21</v>
      </c>
      <c r="R510" s="2"/>
      <c r="S510" s="5" t="s">
        <v>127</v>
      </c>
    </row>
    <row r="511" spans="2:19" x14ac:dyDescent="0.35">
      <c r="B511" s="5" t="s">
        <v>21</v>
      </c>
      <c r="C511" s="1">
        <v>176</v>
      </c>
      <c r="D511" s="5" t="s">
        <v>149</v>
      </c>
      <c r="E511" s="5" t="s">
        <v>13</v>
      </c>
      <c r="F511" s="6">
        <v>40.200000000000003</v>
      </c>
      <c r="H511" s="2">
        <v>46178</v>
      </c>
      <c r="I511" s="15">
        <f ca="1">TODAY()-Base_Relatório[[#This Row],[Plantio]]</f>
        <v>61</v>
      </c>
      <c r="K511" s="14">
        <v>46298</v>
      </c>
      <c r="L511" s="14" t="s">
        <v>189</v>
      </c>
      <c r="M511" s="3"/>
      <c r="N511" s="4"/>
      <c r="O511" s="5" t="s">
        <v>21</v>
      </c>
      <c r="P511" s="5" t="s">
        <v>21</v>
      </c>
      <c r="Q511" s="5" t="s">
        <v>21</v>
      </c>
      <c r="R511" s="2"/>
      <c r="S511" s="5" t="s">
        <v>127</v>
      </c>
    </row>
    <row r="512" spans="2:19" x14ac:dyDescent="0.35">
      <c r="B512" s="5" t="s">
        <v>21</v>
      </c>
      <c r="C512" s="1">
        <v>176</v>
      </c>
      <c r="D512" s="5" t="s">
        <v>149</v>
      </c>
      <c r="E512" s="5" t="s">
        <v>41</v>
      </c>
      <c r="F512" s="6">
        <v>39.32</v>
      </c>
      <c r="H512" s="2">
        <v>46146</v>
      </c>
      <c r="I512" s="15">
        <f ca="1">TODAY()-Base_Relatório[[#This Row],[Plantio]]</f>
        <v>93</v>
      </c>
      <c r="K512" s="14">
        <v>46266</v>
      </c>
      <c r="L512" s="14" t="s">
        <v>189</v>
      </c>
      <c r="M512" s="3"/>
      <c r="N512" s="4"/>
      <c r="O512" s="5" t="s">
        <v>21</v>
      </c>
      <c r="P512" s="5" t="s">
        <v>21</v>
      </c>
      <c r="Q512" s="5" t="s">
        <v>21</v>
      </c>
      <c r="R512" s="2"/>
      <c r="S512" s="5" t="s">
        <v>127</v>
      </c>
    </row>
    <row r="513" spans="2:19" x14ac:dyDescent="0.35">
      <c r="B513" s="5" t="s">
        <v>21</v>
      </c>
      <c r="C513" s="1">
        <v>176</v>
      </c>
      <c r="D513" s="5" t="s">
        <v>149</v>
      </c>
      <c r="E513" s="5" t="s">
        <v>42</v>
      </c>
      <c r="F513" s="6">
        <v>27.4</v>
      </c>
      <c r="H513" s="2">
        <v>46163</v>
      </c>
      <c r="I513" s="15">
        <f ca="1">TODAY()-Base_Relatório[[#This Row],[Plantio]]</f>
        <v>76</v>
      </c>
      <c r="K513" s="14">
        <v>46283</v>
      </c>
      <c r="L513" s="14" t="s">
        <v>189</v>
      </c>
      <c r="M513" s="3"/>
      <c r="N513" s="4"/>
      <c r="O513" s="5" t="s">
        <v>21</v>
      </c>
      <c r="P513" s="5" t="s">
        <v>21</v>
      </c>
      <c r="Q513" s="5" t="s">
        <v>21</v>
      </c>
      <c r="R513" s="2"/>
      <c r="S513" s="5" t="s">
        <v>127</v>
      </c>
    </row>
    <row r="514" spans="2:19" x14ac:dyDescent="0.35">
      <c r="B514" s="5" t="s">
        <v>21</v>
      </c>
      <c r="C514" s="1">
        <v>176</v>
      </c>
      <c r="D514" s="5" t="s">
        <v>149</v>
      </c>
      <c r="E514" s="5" t="s">
        <v>43</v>
      </c>
      <c r="F514" s="6">
        <v>24.85</v>
      </c>
      <c r="H514" s="2">
        <v>46161</v>
      </c>
      <c r="I514" s="15">
        <f ca="1">TODAY()-Base_Relatório[[#This Row],[Plantio]]</f>
        <v>78</v>
      </c>
      <c r="K514" s="14">
        <v>46281</v>
      </c>
      <c r="L514" s="14" t="s">
        <v>189</v>
      </c>
      <c r="M514" s="3"/>
      <c r="N514" s="4"/>
      <c r="O514" s="5" t="s">
        <v>21</v>
      </c>
      <c r="P514" s="5" t="s">
        <v>21</v>
      </c>
      <c r="Q514" s="5" t="s">
        <v>21</v>
      </c>
      <c r="R514" s="2"/>
      <c r="S514" s="5" t="s">
        <v>127</v>
      </c>
    </row>
    <row r="515" spans="2:19" x14ac:dyDescent="0.35">
      <c r="B515" s="5" t="s">
        <v>21</v>
      </c>
      <c r="C515" s="1">
        <v>176</v>
      </c>
      <c r="D515" s="5" t="s">
        <v>149</v>
      </c>
      <c r="E515" s="5" t="s">
        <v>44</v>
      </c>
      <c r="F515" s="6">
        <v>28.94</v>
      </c>
      <c r="H515" s="2">
        <v>46161</v>
      </c>
      <c r="I515" s="15">
        <f ca="1">TODAY()-Base_Relatório[[#This Row],[Plantio]]</f>
        <v>78</v>
      </c>
      <c r="K515" s="14">
        <v>46281</v>
      </c>
      <c r="L515" s="14" t="s">
        <v>189</v>
      </c>
      <c r="M515" s="3"/>
      <c r="N515" s="4"/>
      <c r="O515" s="5" t="s">
        <v>21</v>
      </c>
      <c r="P515" s="5" t="s">
        <v>21</v>
      </c>
      <c r="Q515" s="5" t="s">
        <v>21</v>
      </c>
      <c r="R515" s="2"/>
      <c r="S515" s="5" t="s">
        <v>127</v>
      </c>
    </row>
    <row r="516" spans="2:19" x14ac:dyDescent="0.35">
      <c r="B516" s="5" t="s">
        <v>21</v>
      </c>
      <c r="C516" s="1">
        <v>176</v>
      </c>
      <c r="D516" s="5" t="s">
        <v>149</v>
      </c>
      <c r="E516" s="5" t="s">
        <v>45</v>
      </c>
      <c r="F516" s="6">
        <v>23.52</v>
      </c>
      <c r="H516" s="2">
        <v>46161</v>
      </c>
      <c r="I516" s="15">
        <f ca="1">TODAY()-Base_Relatório[[#This Row],[Plantio]]</f>
        <v>78</v>
      </c>
      <c r="K516" s="14">
        <v>46281</v>
      </c>
      <c r="L516" s="14" t="s">
        <v>189</v>
      </c>
      <c r="M516" s="3"/>
      <c r="N516" s="4"/>
      <c r="O516" s="5" t="s">
        <v>21</v>
      </c>
      <c r="P516" s="5" t="s">
        <v>21</v>
      </c>
      <c r="Q516" s="5" t="s">
        <v>21</v>
      </c>
      <c r="R516" s="2"/>
      <c r="S516" s="5" t="s">
        <v>127</v>
      </c>
    </row>
    <row r="517" spans="2:19" x14ac:dyDescent="0.35">
      <c r="B517" s="5" t="s">
        <v>21</v>
      </c>
      <c r="C517" s="1">
        <v>176</v>
      </c>
      <c r="D517" s="5" t="s">
        <v>149</v>
      </c>
      <c r="E517" s="5" t="s">
        <v>14</v>
      </c>
      <c r="F517" s="6">
        <v>12.83</v>
      </c>
      <c r="H517" s="2">
        <v>46160</v>
      </c>
      <c r="I517" s="15">
        <f ca="1">TODAY()-Base_Relatório[[#This Row],[Plantio]]</f>
        <v>79</v>
      </c>
      <c r="K517" s="14">
        <v>46280</v>
      </c>
      <c r="L517" s="14" t="s">
        <v>189</v>
      </c>
      <c r="M517" s="3"/>
      <c r="N517" s="4"/>
      <c r="O517" s="5" t="s">
        <v>21</v>
      </c>
      <c r="P517" s="5" t="s">
        <v>21</v>
      </c>
      <c r="Q517" s="5" t="s">
        <v>21</v>
      </c>
      <c r="R517" s="2"/>
      <c r="S517" s="5" t="s">
        <v>127</v>
      </c>
    </row>
    <row r="518" spans="2:19" x14ac:dyDescent="0.35">
      <c r="B518" s="5" t="s">
        <v>21</v>
      </c>
      <c r="C518" s="1">
        <v>176</v>
      </c>
      <c r="D518" s="5" t="s">
        <v>149</v>
      </c>
      <c r="E518" s="5" t="s">
        <v>55</v>
      </c>
      <c r="F518" s="6">
        <v>57.42</v>
      </c>
      <c r="H518" s="2">
        <v>46175</v>
      </c>
      <c r="I518" s="15">
        <f ca="1">TODAY()-Base_Relatório[[#This Row],[Plantio]]</f>
        <v>64</v>
      </c>
      <c r="K518" s="14">
        <v>46295</v>
      </c>
      <c r="L518" s="14" t="s">
        <v>189</v>
      </c>
      <c r="M518" s="3"/>
      <c r="N518" s="4"/>
      <c r="O518" s="5" t="s">
        <v>21</v>
      </c>
      <c r="P518" s="5" t="s">
        <v>21</v>
      </c>
      <c r="Q518" s="5" t="s">
        <v>21</v>
      </c>
      <c r="R518" s="2"/>
      <c r="S518" s="5" t="s">
        <v>127</v>
      </c>
    </row>
    <row r="519" spans="2:19" x14ac:dyDescent="0.35">
      <c r="B519" s="5" t="s">
        <v>21</v>
      </c>
      <c r="C519" s="1">
        <v>176</v>
      </c>
      <c r="D519" s="5" t="s">
        <v>149</v>
      </c>
      <c r="E519" s="5" t="s">
        <v>109</v>
      </c>
      <c r="F519" s="6">
        <v>30.34</v>
      </c>
      <c r="H519" s="2">
        <v>46163</v>
      </c>
      <c r="I519" s="15">
        <f ca="1">TODAY()-Base_Relatório[[#This Row],[Plantio]]</f>
        <v>76</v>
      </c>
      <c r="K519" s="14">
        <v>46283</v>
      </c>
      <c r="L519" s="14" t="s">
        <v>189</v>
      </c>
      <c r="M519" s="3"/>
      <c r="N519" s="4"/>
      <c r="O519" s="5" t="s">
        <v>21</v>
      </c>
      <c r="P519" s="5" t="s">
        <v>21</v>
      </c>
      <c r="Q519" s="5" t="s">
        <v>21</v>
      </c>
      <c r="R519" s="2"/>
      <c r="S519" s="5" t="s">
        <v>127</v>
      </c>
    </row>
    <row r="520" spans="2:19" x14ac:dyDescent="0.35">
      <c r="B520" s="5" t="s">
        <v>21</v>
      </c>
      <c r="C520" s="1">
        <v>176</v>
      </c>
      <c r="D520" s="5" t="s">
        <v>149</v>
      </c>
      <c r="E520" s="5" t="s">
        <v>28</v>
      </c>
      <c r="F520" s="6">
        <v>33.299999999999997</v>
      </c>
      <c r="H520" s="2">
        <v>46168</v>
      </c>
      <c r="I520" s="15">
        <f ca="1">TODAY()-Base_Relatório[[#This Row],[Plantio]]</f>
        <v>71</v>
      </c>
      <c r="K520" s="14">
        <v>46288</v>
      </c>
      <c r="L520" s="14" t="s">
        <v>189</v>
      </c>
      <c r="M520" s="3"/>
      <c r="N520" s="4"/>
      <c r="O520" s="5" t="s">
        <v>21</v>
      </c>
      <c r="P520" s="5" t="s">
        <v>21</v>
      </c>
      <c r="Q520" s="5" t="s">
        <v>21</v>
      </c>
      <c r="R520" s="2"/>
      <c r="S520" s="5" t="s">
        <v>127</v>
      </c>
    </row>
    <row r="521" spans="2:19" x14ac:dyDescent="0.35">
      <c r="B521" s="5" t="s">
        <v>21</v>
      </c>
      <c r="C521" s="1">
        <v>176</v>
      </c>
      <c r="D521" s="5" t="s">
        <v>149</v>
      </c>
      <c r="E521" s="5" t="s">
        <v>150</v>
      </c>
      <c r="F521" s="6">
        <v>52.04</v>
      </c>
      <c r="H521" s="2">
        <v>46160</v>
      </c>
      <c r="I521" s="15">
        <f ca="1">TODAY()-Base_Relatório[[#This Row],[Plantio]]</f>
        <v>79</v>
      </c>
      <c r="K521" s="14">
        <v>46280</v>
      </c>
      <c r="L521" s="14" t="s">
        <v>189</v>
      </c>
      <c r="M521" s="3"/>
      <c r="N521" s="4"/>
      <c r="O521" s="5" t="s">
        <v>21</v>
      </c>
      <c r="P521" s="5" t="s">
        <v>21</v>
      </c>
      <c r="Q521" s="5" t="s">
        <v>21</v>
      </c>
      <c r="R521" s="2"/>
      <c r="S521" s="5" t="s">
        <v>127</v>
      </c>
    </row>
    <row r="522" spans="2:19" x14ac:dyDescent="0.35">
      <c r="B522" s="5" t="s">
        <v>21</v>
      </c>
      <c r="C522" s="1">
        <v>176</v>
      </c>
      <c r="D522" s="5" t="s">
        <v>149</v>
      </c>
      <c r="E522" s="5" t="s">
        <v>170</v>
      </c>
      <c r="F522" s="6">
        <v>23.75</v>
      </c>
      <c r="H522" s="2">
        <v>46175</v>
      </c>
      <c r="I522" s="15">
        <f ca="1">TODAY()-Base_Relatório[[#This Row],[Plantio]]</f>
        <v>64</v>
      </c>
      <c r="K522" s="14">
        <v>46295</v>
      </c>
      <c r="L522" s="14" t="s">
        <v>189</v>
      </c>
      <c r="M522" s="3"/>
      <c r="N522" s="4"/>
      <c r="O522" s="5" t="s">
        <v>21</v>
      </c>
      <c r="P522" s="5" t="s">
        <v>21</v>
      </c>
      <c r="Q522" s="5" t="s">
        <v>21</v>
      </c>
      <c r="R522" s="2"/>
      <c r="S522" s="5" t="s">
        <v>127</v>
      </c>
    </row>
    <row r="523" spans="2:19" hidden="1" x14ac:dyDescent="0.35">
      <c r="B523" s="5" t="s">
        <v>21</v>
      </c>
      <c r="C523" s="1">
        <v>301</v>
      </c>
      <c r="D523" s="5" t="s">
        <v>151</v>
      </c>
      <c r="E523" s="5" t="s">
        <v>17</v>
      </c>
      <c r="F523" s="6">
        <v>22</v>
      </c>
      <c r="H523" s="2">
        <v>46177</v>
      </c>
      <c r="I523" s="15">
        <f ca="1">TODAY()-Base_Relatório[[#This Row],[Plantio]]</f>
        <v>62</v>
      </c>
      <c r="K523" s="14">
        <v>46297</v>
      </c>
      <c r="L523" s="14" t="s">
        <v>189</v>
      </c>
      <c r="M523" s="3"/>
      <c r="N523" s="4"/>
      <c r="O523" s="5" t="s">
        <v>21</v>
      </c>
      <c r="P523" s="5" t="s">
        <v>21</v>
      </c>
      <c r="Q523" s="5" t="s">
        <v>21</v>
      </c>
      <c r="R523" s="2"/>
      <c r="S523" s="5" t="s">
        <v>128</v>
      </c>
    </row>
    <row r="524" spans="2:19" hidden="1" x14ac:dyDescent="0.35">
      <c r="B524" s="5" t="s">
        <v>21</v>
      </c>
      <c r="C524" s="1">
        <v>301</v>
      </c>
      <c r="D524" s="5" t="s">
        <v>151</v>
      </c>
      <c r="E524" s="5" t="s">
        <v>20</v>
      </c>
      <c r="F524" s="6">
        <v>33.54</v>
      </c>
      <c r="H524" s="2">
        <v>46176</v>
      </c>
      <c r="I524" s="15">
        <f ca="1">TODAY()-Base_Relatório[[#This Row],[Plantio]]</f>
        <v>63</v>
      </c>
      <c r="K524" s="14">
        <v>46296</v>
      </c>
      <c r="L524" s="14" t="s">
        <v>189</v>
      </c>
      <c r="M524" s="3"/>
      <c r="N524" s="4"/>
      <c r="O524" s="5" t="s">
        <v>21</v>
      </c>
      <c r="P524" s="5" t="s">
        <v>21</v>
      </c>
      <c r="Q524" s="5" t="s">
        <v>21</v>
      </c>
      <c r="R524" s="2"/>
      <c r="S524" s="5" t="s">
        <v>128</v>
      </c>
    </row>
    <row r="525" spans="2:19" hidden="1" x14ac:dyDescent="0.35">
      <c r="B525" s="5" t="s">
        <v>21</v>
      </c>
      <c r="C525" s="1">
        <v>301</v>
      </c>
      <c r="D525" s="5" t="s">
        <v>151</v>
      </c>
      <c r="E525" s="5" t="s">
        <v>22</v>
      </c>
      <c r="F525" s="6">
        <v>11.54</v>
      </c>
      <c r="H525" s="2">
        <v>46175</v>
      </c>
      <c r="I525" s="15">
        <f ca="1">TODAY()-Base_Relatório[[#This Row],[Plantio]]</f>
        <v>64</v>
      </c>
      <c r="K525" s="14">
        <v>46295</v>
      </c>
      <c r="L525" s="14" t="s">
        <v>189</v>
      </c>
      <c r="M525" s="3"/>
      <c r="N525" s="4"/>
      <c r="O525" s="5" t="s">
        <v>21</v>
      </c>
      <c r="P525" s="5" t="s">
        <v>21</v>
      </c>
      <c r="Q525" s="5" t="s">
        <v>21</v>
      </c>
      <c r="R525" s="2"/>
      <c r="S525" s="5" t="s">
        <v>128</v>
      </c>
    </row>
    <row r="526" spans="2:19" hidden="1" x14ac:dyDescent="0.35">
      <c r="B526" s="5" t="s">
        <v>21</v>
      </c>
      <c r="C526" s="1">
        <v>301</v>
      </c>
      <c r="D526" s="5" t="s">
        <v>151</v>
      </c>
      <c r="E526" s="5" t="s">
        <v>23</v>
      </c>
      <c r="F526" s="6">
        <v>4.38</v>
      </c>
      <c r="H526" s="2">
        <v>46161</v>
      </c>
      <c r="I526" s="15">
        <f ca="1">TODAY()-Base_Relatório[[#This Row],[Plantio]]</f>
        <v>78</v>
      </c>
      <c r="K526" s="14">
        <v>46281</v>
      </c>
      <c r="L526" s="14" t="s">
        <v>189</v>
      </c>
      <c r="M526" s="3"/>
      <c r="N526" s="4"/>
      <c r="O526" s="5" t="s">
        <v>21</v>
      </c>
      <c r="P526" s="5" t="s">
        <v>21</v>
      </c>
      <c r="Q526" s="5" t="s">
        <v>21</v>
      </c>
      <c r="R526" s="2"/>
      <c r="S526" s="5" t="s">
        <v>128</v>
      </c>
    </row>
    <row r="527" spans="2:19" hidden="1" x14ac:dyDescent="0.35">
      <c r="B527" s="5" t="s">
        <v>21</v>
      </c>
      <c r="C527" s="1">
        <v>301</v>
      </c>
      <c r="D527" s="5" t="s">
        <v>151</v>
      </c>
      <c r="E527" s="5" t="s">
        <v>24</v>
      </c>
      <c r="F527" s="6">
        <v>34.92</v>
      </c>
      <c r="H527" s="2">
        <v>46162</v>
      </c>
      <c r="I527" s="15">
        <f ca="1">TODAY()-Base_Relatório[[#This Row],[Plantio]]</f>
        <v>77</v>
      </c>
      <c r="K527" s="14">
        <v>46282</v>
      </c>
      <c r="L527" s="14" t="s">
        <v>189</v>
      </c>
      <c r="M527" s="3"/>
      <c r="N527" s="4"/>
      <c r="O527" s="5" t="s">
        <v>21</v>
      </c>
      <c r="P527" s="5" t="s">
        <v>21</v>
      </c>
      <c r="Q527" s="5" t="s">
        <v>21</v>
      </c>
      <c r="R527" s="2"/>
      <c r="S527" s="5" t="s">
        <v>128</v>
      </c>
    </row>
    <row r="528" spans="2:19" hidden="1" x14ac:dyDescent="0.35">
      <c r="B528" s="5" t="s">
        <v>21</v>
      </c>
      <c r="C528" s="1">
        <v>301</v>
      </c>
      <c r="D528" s="5" t="s">
        <v>151</v>
      </c>
      <c r="E528" s="5" t="s">
        <v>31</v>
      </c>
      <c r="F528" s="6">
        <v>57.48</v>
      </c>
      <c r="H528" s="2">
        <v>46161</v>
      </c>
      <c r="I528" s="15">
        <f ca="1">TODAY()-Base_Relatório[[#This Row],[Plantio]]</f>
        <v>78</v>
      </c>
      <c r="K528" s="14">
        <v>46281</v>
      </c>
      <c r="L528" s="14" t="s">
        <v>189</v>
      </c>
      <c r="M528" s="3"/>
      <c r="N528" s="4"/>
      <c r="O528" s="5" t="s">
        <v>21</v>
      </c>
      <c r="P528" s="5" t="s">
        <v>21</v>
      </c>
      <c r="Q528" s="5" t="s">
        <v>21</v>
      </c>
      <c r="R528" s="2"/>
      <c r="S528" s="5" t="s">
        <v>128</v>
      </c>
    </row>
    <row r="529" spans="2:19" hidden="1" x14ac:dyDescent="0.35">
      <c r="B529" s="5" t="s">
        <v>21</v>
      </c>
      <c r="C529" s="1">
        <v>301</v>
      </c>
      <c r="D529" s="5" t="s">
        <v>151</v>
      </c>
      <c r="E529" s="5" t="s">
        <v>11</v>
      </c>
      <c r="F529" s="6">
        <v>21.27</v>
      </c>
      <c r="H529" s="2">
        <v>46163</v>
      </c>
      <c r="I529" s="15">
        <f ca="1">TODAY()-Base_Relatório[[#This Row],[Plantio]]</f>
        <v>76</v>
      </c>
      <c r="K529" s="14">
        <v>46283</v>
      </c>
      <c r="L529" s="14" t="s">
        <v>189</v>
      </c>
      <c r="M529" s="3"/>
      <c r="N529" s="4"/>
      <c r="O529" s="5" t="s">
        <v>21</v>
      </c>
      <c r="P529" s="5" t="s">
        <v>21</v>
      </c>
      <c r="Q529" s="5" t="s">
        <v>21</v>
      </c>
      <c r="R529" s="2"/>
      <c r="S529" s="5" t="s">
        <v>128</v>
      </c>
    </row>
    <row r="530" spans="2:19" hidden="1" x14ac:dyDescent="0.35">
      <c r="B530" s="5" t="s">
        <v>21</v>
      </c>
      <c r="C530" s="1">
        <v>301</v>
      </c>
      <c r="D530" s="5" t="s">
        <v>151</v>
      </c>
      <c r="E530" s="5" t="s">
        <v>48</v>
      </c>
      <c r="F530" s="6">
        <v>11.01</v>
      </c>
      <c r="H530" s="2">
        <v>46156</v>
      </c>
      <c r="I530" s="15">
        <f ca="1">TODAY()-Base_Relatório[[#This Row],[Plantio]]</f>
        <v>83</v>
      </c>
      <c r="K530" s="14">
        <v>46276</v>
      </c>
      <c r="L530" s="14" t="s">
        <v>189</v>
      </c>
      <c r="M530" s="3"/>
      <c r="N530" s="4"/>
      <c r="O530" s="5" t="s">
        <v>21</v>
      </c>
      <c r="P530" s="5" t="s">
        <v>21</v>
      </c>
      <c r="Q530" s="5" t="s">
        <v>21</v>
      </c>
      <c r="R530" s="2"/>
      <c r="S530" s="5" t="s">
        <v>128</v>
      </c>
    </row>
    <row r="531" spans="2:19" hidden="1" x14ac:dyDescent="0.35">
      <c r="B531" s="5" t="s">
        <v>21</v>
      </c>
      <c r="C531" s="1">
        <v>301</v>
      </c>
      <c r="D531" s="5" t="s">
        <v>151</v>
      </c>
      <c r="E531" s="5" t="s">
        <v>32</v>
      </c>
      <c r="F531" s="6">
        <v>13.69</v>
      </c>
      <c r="H531" s="2">
        <v>46167</v>
      </c>
      <c r="I531" s="15">
        <f ca="1">TODAY()-Base_Relatório[[#This Row],[Plantio]]</f>
        <v>72</v>
      </c>
      <c r="K531" s="14">
        <v>46287</v>
      </c>
      <c r="L531" s="14" t="s">
        <v>189</v>
      </c>
      <c r="M531" s="3"/>
      <c r="N531" s="4"/>
      <c r="O531" s="5" t="s">
        <v>21</v>
      </c>
      <c r="P531" s="5" t="s">
        <v>21</v>
      </c>
      <c r="Q531" s="5" t="s">
        <v>21</v>
      </c>
      <c r="R531" s="2"/>
      <c r="S531" s="5" t="s">
        <v>128</v>
      </c>
    </row>
    <row r="532" spans="2:19" hidden="1" x14ac:dyDescent="0.35">
      <c r="B532" s="5" t="s">
        <v>21</v>
      </c>
      <c r="C532" s="1">
        <v>301</v>
      </c>
      <c r="D532" s="5" t="s">
        <v>151</v>
      </c>
      <c r="E532" s="5" t="s">
        <v>26</v>
      </c>
      <c r="F532" s="6">
        <v>14.33</v>
      </c>
      <c r="H532" s="2">
        <v>46157</v>
      </c>
      <c r="I532" s="15">
        <f ca="1">TODAY()-Base_Relatório[[#This Row],[Plantio]]</f>
        <v>82</v>
      </c>
      <c r="K532" s="14">
        <v>46277</v>
      </c>
      <c r="L532" s="14" t="s">
        <v>189</v>
      </c>
      <c r="M532" s="3"/>
      <c r="N532" s="4"/>
      <c r="O532" s="5" t="s">
        <v>21</v>
      </c>
      <c r="P532" s="5" t="s">
        <v>21</v>
      </c>
      <c r="Q532" s="5" t="s">
        <v>21</v>
      </c>
      <c r="R532" s="2"/>
      <c r="S532" s="5" t="s">
        <v>128</v>
      </c>
    </row>
    <row r="533" spans="2:19" hidden="1" x14ac:dyDescent="0.35">
      <c r="B533" s="5" t="s">
        <v>21</v>
      </c>
      <c r="C533" s="1">
        <v>301</v>
      </c>
      <c r="D533" s="5" t="s">
        <v>151</v>
      </c>
      <c r="E533" s="5" t="s">
        <v>49</v>
      </c>
      <c r="F533" s="6">
        <v>28.46</v>
      </c>
      <c r="H533" s="2">
        <v>46162</v>
      </c>
      <c r="I533" s="15">
        <f ca="1">TODAY()-Base_Relatório[[#This Row],[Plantio]]</f>
        <v>77</v>
      </c>
      <c r="K533" s="14">
        <v>46282</v>
      </c>
      <c r="L533" s="14" t="s">
        <v>189</v>
      </c>
      <c r="M533" s="3"/>
      <c r="N533" s="4"/>
      <c r="O533" s="5" t="s">
        <v>21</v>
      </c>
      <c r="P533" s="5" t="s">
        <v>21</v>
      </c>
      <c r="Q533" s="5" t="s">
        <v>21</v>
      </c>
      <c r="R533" s="2"/>
      <c r="S533" s="5" t="s">
        <v>128</v>
      </c>
    </row>
    <row r="534" spans="2:19" hidden="1" x14ac:dyDescent="0.35">
      <c r="B534" s="5" t="s">
        <v>21</v>
      </c>
      <c r="C534" s="1">
        <v>301</v>
      </c>
      <c r="D534" s="5" t="s">
        <v>151</v>
      </c>
      <c r="E534" s="5" t="s">
        <v>52</v>
      </c>
      <c r="F534" s="6">
        <v>23.07</v>
      </c>
      <c r="H534" s="2">
        <v>46157</v>
      </c>
      <c r="I534" s="15">
        <f ca="1">TODAY()-Base_Relatório[[#This Row],[Plantio]]</f>
        <v>82</v>
      </c>
      <c r="K534" s="14">
        <v>46277</v>
      </c>
      <c r="L534" s="14" t="s">
        <v>189</v>
      </c>
      <c r="M534" s="3"/>
      <c r="N534" s="4"/>
      <c r="O534" s="5" t="s">
        <v>21</v>
      </c>
      <c r="P534" s="5" t="s">
        <v>21</v>
      </c>
      <c r="Q534" s="5" t="s">
        <v>21</v>
      </c>
      <c r="R534" s="2"/>
      <c r="S534" s="5" t="s">
        <v>128</v>
      </c>
    </row>
    <row r="535" spans="2:19" hidden="1" x14ac:dyDescent="0.35">
      <c r="B535" s="5" t="s">
        <v>21</v>
      </c>
      <c r="C535" s="1">
        <v>301</v>
      </c>
      <c r="D535" s="5" t="s">
        <v>151</v>
      </c>
      <c r="E535" s="5" t="s">
        <v>54</v>
      </c>
      <c r="F535" s="6">
        <v>29.71</v>
      </c>
      <c r="H535" s="2">
        <v>46177</v>
      </c>
      <c r="I535" s="15">
        <f ca="1">TODAY()-Base_Relatório[[#This Row],[Plantio]]</f>
        <v>62</v>
      </c>
      <c r="K535" s="14">
        <v>46297</v>
      </c>
      <c r="L535" s="14" t="s">
        <v>189</v>
      </c>
      <c r="M535" s="3"/>
      <c r="N535" s="4"/>
      <c r="O535" s="5" t="s">
        <v>21</v>
      </c>
      <c r="P535" s="5" t="s">
        <v>21</v>
      </c>
      <c r="Q535" s="5" t="s">
        <v>21</v>
      </c>
      <c r="R535" s="2"/>
      <c r="S535" s="5" t="s">
        <v>128</v>
      </c>
    </row>
    <row r="536" spans="2:19" hidden="1" x14ac:dyDescent="0.35">
      <c r="B536" s="5" t="s">
        <v>21</v>
      </c>
      <c r="C536" s="1">
        <v>301</v>
      </c>
      <c r="D536" s="5" t="s">
        <v>151</v>
      </c>
      <c r="E536" s="5" t="s">
        <v>57</v>
      </c>
      <c r="F536" s="6">
        <v>15.7</v>
      </c>
      <c r="H536" s="2">
        <v>46154</v>
      </c>
      <c r="I536" s="15">
        <f ca="1">TODAY()-Base_Relatório[[#This Row],[Plantio]]</f>
        <v>85</v>
      </c>
      <c r="K536" s="14">
        <v>46274</v>
      </c>
      <c r="L536" s="14" t="s">
        <v>189</v>
      </c>
      <c r="M536" s="3"/>
      <c r="N536" s="4"/>
      <c r="O536" s="5" t="s">
        <v>21</v>
      </c>
      <c r="P536" s="5" t="s">
        <v>21</v>
      </c>
      <c r="Q536" s="5" t="s">
        <v>21</v>
      </c>
      <c r="R536" s="2"/>
      <c r="S536" s="5" t="s">
        <v>128</v>
      </c>
    </row>
    <row r="537" spans="2:19" hidden="1" x14ac:dyDescent="0.35">
      <c r="B537" s="5" t="s">
        <v>21</v>
      </c>
      <c r="C537" s="1">
        <v>301</v>
      </c>
      <c r="D537" s="5" t="s">
        <v>151</v>
      </c>
      <c r="E537" s="5" t="s">
        <v>84</v>
      </c>
      <c r="F537" s="6">
        <v>15.34</v>
      </c>
      <c r="H537" s="2">
        <v>46149</v>
      </c>
      <c r="I537" s="15">
        <f ca="1">TODAY()-Base_Relatório[[#This Row],[Plantio]]</f>
        <v>90</v>
      </c>
      <c r="K537" s="14">
        <v>46269</v>
      </c>
      <c r="L537" s="14" t="s">
        <v>189</v>
      </c>
      <c r="M537" s="3"/>
      <c r="N537" s="4"/>
      <c r="O537" s="5" t="s">
        <v>21</v>
      </c>
      <c r="P537" s="5" t="s">
        <v>21</v>
      </c>
      <c r="Q537" s="5" t="s">
        <v>21</v>
      </c>
      <c r="R537" s="2"/>
      <c r="S537" s="5" t="s">
        <v>128</v>
      </c>
    </row>
    <row r="538" spans="2:19" hidden="1" x14ac:dyDescent="0.35">
      <c r="B538" s="5" t="s">
        <v>21</v>
      </c>
      <c r="C538" s="1">
        <v>301</v>
      </c>
      <c r="D538" s="5" t="s">
        <v>151</v>
      </c>
      <c r="E538" s="5" t="s">
        <v>33</v>
      </c>
      <c r="F538" s="6">
        <v>6.14</v>
      </c>
      <c r="H538" s="2">
        <v>46147</v>
      </c>
      <c r="I538" s="15">
        <f ca="1">TODAY()-Base_Relatório[[#This Row],[Plantio]]</f>
        <v>92</v>
      </c>
      <c r="K538" s="14">
        <v>46267</v>
      </c>
      <c r="L538" s="14" t="s">
        <v>189</v>
      </c>
      <c r="M538" s="3"/>
      <c r="N538" s="4"/>
      <c r="O538" s="5" t="s">
        <v>21</v>
      </c>
      <c r="P538" s="5" t="s">
        <v>21</v>
      </c>
      <c r="Q538" s="5" t="s">
        <v>21</v>
      </c>
      <c r="R538" s="2"/>
      <c r="S538" s="5" t="s">
        <v>128</v>
      </c>
    </row>
    <row r="539" spans="2:19" hidden="1" x14ac:dyDescent="0.35">
      <c r="B539" s="5" t="s">
        <v>21</v>
      </c>
      <c r="C539" s="1">
        <v>301</v>
      </c>
      <c r="D539" s="5" t="s">
        <v>151</v>
      </c>
      <c r="E539" s="5" t="s">
        <v>85</v>
      </c>
      <c r="F539" s="6">
        <v>9.18</v>
      </c>
      <c r="H539" s="2">
        <v>46147</v>
      </c>
      <c r="I539" s="15">
        <f ca="1">TODAY()-Base_Relatório[[#This Row],[Plantio]]</f>
        <v>92</v>
      </c>
      <c r="K539" s="14">
        <v>46267</v>
      </c>
      <c r="L539" s="14" t="s">
        <v>189</v>
      </c>
      <c r="M539" s="3"/>
      <c r="N539" s="4"/>
      <c r="O539" s="5" t="s">
        <v>21</v>
      </c>
      <c r="P539" s="5" t="s">
        <v>21</v>
      </c>
      <c r="Q539" s="5" t="s">
        <v>21</v>
      </c>
      <c r="R539" s="2"/>
      <c r="S539" s="5" t="s">
        <v>128</v>
      </c>
    </row>
    <row r="540" spans="2:19" hidden="1" x14ac:dyDescent="0.35">
      <c r="B540" s="5" t="s">
        <v>21</v>
      </c>
      <c r="C540" s="1">
        <v>301</v>
      </c>
      <c r="D540" s="5" t="s">
        <v>151</v>
      </c>
      <c r="E540" s="5" t="s">
        <v>34</v>
      </c>
      <c r="F540" s="6">
        <v>29.54</v>
      </c>
      <c r="H540" s="2">
        <v>46153</v>
      </c>
      <c r="I540" s="15">
        <f ca="1">TODAY()-Base_Relatório[[#This Row],[Plantio]]</f>
        <v>86</v>
      </c>
      <c r="K540" s="14">
        <v>46273</v>
      </c>
      <c r="L540" s="14" t="s">
        <v>189</v>
      </c>
      <c r="M540" s="3"/>
      <c r="N540" s="4"/>
      <c r="O540" s="5" t="s">
        <v>21</v>
      </c>
      <c r="P540" s="5" t="s">
        <v>21</v>
      </c>
      <c r="Q540" s="5" t="s">
        <v>21</v>
      </c>
      <c r="R540" s="2"/>
      <c r="S540" s="5" t="s">
        <v>128</v>
      </c>
    </row>
    <row r="541" spans="2:19" hidden="1" x14ac:dyDescent="0.35">
      <c r="B541" s="5" t="s">
        <v>21</v>
      </c>
      <c r="C541" s="1">
        <v>301</v>
      </c>
      <c r="D541" s="5" t="s">
        <v>151</v>
      </c>
      <c r="E541" s="5" t="s">
        <v>35</v>
      </c>
      <c r="F541" s="6">
        <v>33.51</v>
      </c>
      <c r="H541" s="2">
        <v>46153</v>
      </c>
      <c r="I541" s="15">
        <f ca="1">TODAY()-Base_Relatório[[#This Row],[Plantio]]</f>
        <v>86</v>
      </c>
      <c r="K541" s="14">
        <v>46273</v>
      </c>
      <c r="L541" s="14" t="s">
        <v>189</v>
      </c>
      <c r="M541" s="3"/>
      <c r="N541" s="4"/>
      <c r="O541" s="5" t="s">
        <v>21</v>
      </c>
      <c r="P541" s="5" t="s">
        <v>21</v>
      </c>
      <c r="Q541" s="5" t="s">
        <v>21</v>
      </c>
      <c r="R541" s="2"/>
      <c r="S541" s="5" t="s">
        <v>128</v>
      </c>
    </row>
    <row r="542" spans="2:19" hidden="1" x14ac:dyDescent="0.35">
      <c r="B542" s="5" t="s">
        <v>21</v>
      </c>
      <c r="C542" s="1">
        <v>301</v>
      </c>
      <c r="D542" s="5" t="s">
        <v>151</v>
      </c>
      <c r="E542" s="5" t="s">
        <v>36</v>
      </c>
      <c r="F542" s="6">
        <v>6.31</v>
      </c>
      <c r="H542" s="2">
        <v>46148</v>
      </c>
      <c r="I542" s="15">
        <f ca="1">TODAY()-Base_Relatório[[#This Row],[Plantio]]</f>
        <v>91</v>
      </c>
      <c r="K542" s="14">
        <v>46268</v>
      </c>
      <c r="L542" s="14" t="s">
        <v>189</v>
      </c>
      <c r="M542" s="3"/>
      <c r="N542" s="4"/>
      <c r="O542" s="5" t="s">
        <v>21</v>
      </c>
      <c r="P542" s="5" t="s">
        <v>21</v>
      </c>
      <c r="Q542" s="5" t="s">
        <v>21</v>
      </c>
      <c r="R542" s="2"/>
      <c r="S542" s="5" t="s">
        <v>128</v>
      </c>
    </row>
    <row r="543" spans="2:19" hidden="1" x14ac:dyDescent="0.35">
      <c r="B543" s="5" t="s">
        <v>21</v>
      </c>
      <c r="C543" s="1">
        <v>301</v>
      </c>
      <c r="D543" s="5" t="s">
        <v>151</v>
      </c>
      <c r="E543" s="5" t="s">
        <v>99</v>
      </c>
      <c r="F543" s="6">
        <v>5.21</v>
      </c>
      <c r="H543" s="2">
        <v>46150</v>
      </c>
      <c r="I543" s="15">
        <f ca="1">TODAY()-Base_Relatório[[#This Row],[Plantio]]</f>
        <v>89</v>
      </c>
      <c r="K543" s="14">
        <v>46270</v>
      </c>
      <c r="L543" s="14" t="s">
        <v>189</v>
      </c>
      <c r="M543" s="3"/>
      <c r="N543" s="4"/>
      <c r="O543" s="5" t="s">
        <v>21</v>
      </c>
      <c r="P543" s="5" t="s">
        <v>21</v>
      </c>
      <c r="Q543" s="5" t="s">
        <v>21</v>
      </c>
      <c r="R543" s="2"/>
      <c r="S543" s="5" t="s">
        <v>128</v>
      </c>
    </row>
    <row r="544" spans="2:19" hidden="1" x14ac:dyDescent="0.35">
      <c r="B544" s="5" t="s">
        <v>21</v>
      </c>
      <c r="C544" s="1">
        <v>301</v>
      </c>
      <c r="D544" s="5" t="s">
        <v>151</v>
      </c>
      <c r="E544" s="5" t="s">
        <v>37</v>
      </c>
      <c r="F544" s="6">
        <v>29.38</v>
      </c>
      <c r="H544" s="2">
        <v>46148</v>
      </c>
      <c r="I544" s="15">
        <f ca="1">TODAY()-Base_Relatório[[#This Row],[Plantio]]</f>
        <v>91</v>
      </c>
      <c r="K544" s="14">
        <v>46268</v>
      </c>
      <c r="L544" s="14" t="s">
        <v>189</v>
      </c>
      <c r="M544" s="3"/>
      <c r="N544" s="4"/>
      <c r="O544" s="5" t="s">
        <v>21</v>
      </c>
      <c r="P544" s="5" t="s">
        <v>21</v>
      </c>
      <c r="Q544" s="5" t="s">
        <v>21</v>
      </c>
      <c r="R544" s="2"/>
      <c r="S544" s="5" t="s">
        <v>128</v>
      </c>
    </row>
    <row r="545" spans="2:19" hidden="1" x14ac:dyDescent="0.35">
      <c r="B545" s="5" t="s">
        <v>21</v>
      </c>
      <c r="C545" s="1">
        <v>301</v>
      </c>
      <c r="D545" s="5" t="s">
        <v>151</v>
      </c>
      <c r="E545" s="5" t="s">
        <v>38</v>
      </c>
      <c r="F545" s="6">
        <v>23.05</v>
      </c>
      <c r="H545" s="2">
        <v>46148</v>
      </c>
      <c r="I545" s="15">
        <f ca="1">TODAY()-Base_Relatório[[#This Row],[Plantio]]</f>
        <v>91</v>
      </c>
      <c r="K545" s="14">
        <v>46268</v>
      </c>
      <c r="L545" s="14" t="s">
        <v>189</v>
      </c>
      <c r="M545" s="3"/>
      <c r="N545" s="4"/>
      <c r="O545" s="5" t="s">
        <v>21</v>
      </c>
      <c r="P545" s="5" t="s">
        <v>21</v>
      </c>
      <c r="Q545" s="5" t="s">
        <v>21</v>
      </c>
      <c r="R545" s="2"/>
      <c r="S545" s="5" t="s">
        <v>128</v>
      </c>
    </row>
    <row r="546" spans="2:19" hidden="1" x14ac:dyDescent="0.35">
      <c r="B546" s="5" t="s">
        <v>21</v>
      </c>
      <c r="C546" s="1">
        <v>301</v>
      </c>
      <c r="D546" s="5" t="s">
        <v>151</v>
      </c>
      <c r="E546" s="5" t="s">
        <v>13</v>
      </c>
      <c r="F546" s="6">
        <v>48.43</v>
      </c>
      <c r="H546" s="2">
        <v>46183</v>
      </c>
      <c r="I546" s="15">
        <f ca="1">TODAY()-Base_Relatório[[#This Row],[Plantio]]</f>
        <v>56</v>
      </c>
      <c r="K546" s="14">
        <v>46303</v>
      </c>
      <c r="L546" s="14" t="s">
        <v>189</v>
      </c>
      <c r="M546" s="3"/>
      <c r="N546" s="4"/>
      <c r="O546" s="5" t="s">
        <v>21</v>
      </c>
      <c r="P546" s="5" t="s">
        <v>21</v>
      </c>
      <c r="Q546" s="5" t="s">
        <v>21</v>
      </c>
      <c r="R546" s="2"/>
      <c r="S546" s="5" t="s">
        <v>128</v>
      </c>
    </row>
    <row r="547" spans="2:19" hidden="1" x14ac:dyDescent="0.35">
      <c r="B547" s="5" t="s">
        <v>21</v>
      </c>
      <c r="C547" s="1">
        <v>301</v>
      </c>
      <c r="D547" s="5" t="s">
        <v>151</v>
      </c>
      <c r="E547" s="5" t="s">
        <v>39</v>
      </c>
      <c r="F547" s="6">
        <v>8.86</v>
      </c>
      <c r="H547" s="2">
        <v>46149</v>
      </c>
      <c r="I547" s="15">
        <f ca="1">TODAY()-Base_Relatório[[#This Row],[Plantio]]</f>
        <v>90</v>
      </c>
      <c r="K547" s="14">
        <v>46269</v>
      </c>
      <c r="L547" s="14" t="s">
        <v>189</v>
      </c>
      <c r="M547" s="3"/>
      <c r="N547" s="4"/>
      <c r="O547" s="5" t="s">
        <v>21</v>
      </c>
      <c r="P547" s="5" t="s">
        <v>21</v>
      </c>
      <c r="Q547" s="5" t="s">
        <v>21</v>
      </c>
      <c r="R547" s="2"/>
      <c r="S547" s="5" t="s">
        <v>128</v>
      </c>
    </row>
    <row r="548" spans="2:19" hidden="1" x14ac:dyDescent="0.35">
      <c r="B548" s="5" t="s">
        <v>21</v>
      </c>
      <c r="C548" s="1">
        <v>301</v>
      </c>
      <c r="D548" s="5" t="s">
        <v>151</v>
      </c>
      <c r="E548" s="5" t="s">
        <v>40</v>
      </c>
      <c r="F548" s="6">
        <v>10.039999999999999</v>
      </c>
      <c r="H548" s="2">
        <v>46146</v>
      </c>
      <c r="I548" s="15">
        <f ca="1">TODAY()-Base_Relatório[[#This Row],[Plantio]]</f>
        <v>93</v>
      </c>
      <c r="K548" s="14">
        <v>46266</v>
      </c>
      <c r="L548" s="14" t="s">
        <v>189</v>
      </c>
      <c r="M548" s="3"/>
      <c r="N548" s="4"/>
      <c r="O548" s="5" t="s">
        <v>21</v>
      </c>
      <c r="P548" s="5" t="s">
        <v>21</v>
      </c>
      <c r="Q548" s="5" t="s">
        <v>21</v>
      </c>
      <c r="R548" s="2"/>
      <c r="S548" s="5" t="s">
        <v>128</v>
      </c>
    </row>
    <row r="549" spans="2:19" hidden="1" x14ac:dyDescent="0.35">
      <c r="B549" s="5" t="s">
        <v>21</v>
      </c>
      <c r="C549" s="1">
        <v>301</v>
      </c>
      <c r="D549" s="5" t="s">
        <v>151</v>
      </c>
      <c r="E549" s="5" t="s">
        <v>58</v>
      </c>
      <c r="F549" s="6">
        <v>8.26</v>
      </c>
      <c r="H549" s="2">
        <v>46148</v>
      </c>
      <c r="I549" s="15">
        <f ca="1">TODAY()-Base_Relatório[[#This Row],[Plantio]]</f>
        <v>91</v>
      </c>
      <c r="K549" s="14">
        <v>46268</v>
      </c>
      <c r="L549" s="14" t="s">
        <v>189</v>
      </c>
      <c r="M549" s="3"/>
      <c r="N549" s="4"/>
      <c r="O549" s="5" t="s">
        <v>21</v>
      </c>
      <c r="P549" s="5" t="s">
        <v>21</v>
      </c>
      <c r="Q549" s="5" t="s">
        <v>21</v>
      </c>
      <c r="R549" s="2"/>
      <c r="S549" s="5" t="s">
        <v>128</v>
      </c>
    </row>
    <row r="550" spans="2:19" hidden="1" x14ac:dyDescent="0.35">
      <c r="B550" s="5" t="s">
        <v>21</v>
      </c>
      <c r="C550" s="1">
        <v>301</v>
      </c>
      <c r="D550" s="5" t="s">
        <v>151</v>
      </c>
      <c r="E550" s="5" t="s">
        <v>41</v>
      </c>
      <c r="F550" s="6">
        <v>11.99</v>
      </c>
      <c r="H550" s="2">
        <v>46146</v>
      </c>
      <c r="I550" s="15">
        <f ca="1">TODAY()-Base_Relatório[[#This Row],[Plantio]]</f>
        <v>93</v>
      </c>
      <c r="K550" s="14">
        <v>46266</v>
      </c>
      <c r="L550" s="14" t="s">
        <v>189</v>
      </c>
      <c r="M550" s="3"/>
      <c r="N550" s="4"/>
      <c r="O550" s="5" t="s">
        <v>21</v>
      </c>
      <c r="P550" s="5" t="s">
        <v>21</v>
      </c>
      <c r="Q550" s="5" t="s">
        <v>21</v>
      </c>
      <c r="R550" s="2"/>
      <c r="S550" s="5" t="s">
        <v>128</v>
      </c>
    </row>
    <row r="551" spans="2:19" hidden="1" x14ac:dyDescent="0.35">
      <c r="B551" s="5" t="s">
        <v>21</v>
      </c>
      <c r="C551" s="1">
        <v>301</v>
      </c>
      <c r="D551" s="5" t="s">
        <v>151</v>
      </c>
      <c r="E551" s="5" t="s">
        <v>55</v>
      </c>
      <c r="F551" s="6">
        <v>49.41</v>
      </c>
      <c r="H551" s="2">
        <v>46178</v>
      </c>
      <c r="I551" s="15">
        <f ca="1">TODAY()-Base_Relatório[[#This Row],[Plantio]]</f>
        <v>61</v>
      </c>
      <c r="K551" s="14">
        <v>46298</v>
      </c>
      <c r="L551" s="14" t="s">
        <v>189</v>
      </c>
      <c r="M551" s="3"/>
      <c r="N551" s="4"/>
      <c r="O551" s="5" t="s">
        <v>21</v>
      </c>
      <c r="P551" s="5" t="s">
        <v>21</v>
      </c>
      <c r="Q551" s="5" t="s">
        <v>21</v>
      </c>
      <c r="R551" s="2"/>
      <c r="S551" s="5" t="s">
        <v>128</v>
      </c>
    </row>
    <row r="552" spans="2:19" hidden="1" x14ac:dyDescent="0.35">
      <c r="B552" s="5" t="s">
        <v>21</v>
      </c>
      <c r="C552" s="1">
        <v>301</v>
      </c>
      <c r="D552" s="5" t="s">
        <v>151</v>
      </c>
      <c r="E552" s="5" t="s">
        <v>46</v>
      </c>
      <c r="F552" s="6">
        <v>5.84</v>
      </c>
      <c r="H552" s="2">
        <v>46169</v>
      </c>
      <c r="I552" s="15">
        <f ca="1">TODAY()-Base_Relatório[[#This Row],[Plantio]]</f>
        <v>70</v>
      </c>
      <c r="K552" s="14">
        <v>46289</v>
      </c>
      <c r="L552" s="14" t="s">
        <v>189</v>
      </c>
      <c r="M552" s="3"/>
      <c r="N552" s="4"/>
      <c r="O552" s="5" t="s">
        <v>21</v>
      </c>
      <c r="P552" s="5" t="s">
        <v>21</v>
      </c>
      <c r="Q552" s="5" t="s">
        <v>21</v>
      </c>
      <c r="R552" s="2"/>
      <c r="S552" s="5" t="s">
        <v>128</v>
      </c>
    </row>
    <row r="553" spans="2:19" hidden="1" x14ac:dyDescent="0.35">
      <c r="B553" s="5" t="s">
        <v>21</v>
      </c>
      <c r="C553" s="1">
        <v>301</v>
      </c>
      <c r="D553" s="5" t="s">
        <v>151</v>
      </c>
      <c r="E553" s="5" t="s">
        <v>56</v>
      </c>
      <c r="F553" s="6">
        <v>45.41</v>
      </c>
      <c r="H553" s="2">
        <v>46167</v>
      </c>
      <c r="I553" s="15">
        <f ca="1">TODAY()-Base_Relatório[[#This Row],[Plantio]]</f>
        <v>72</v>
      </c>
      <c r="K553" s="14">
        <v>46287</v>
      </c>
      <c r="L553" s="14" t="s">
        <v>189</v>
      </c>
      <c r="M553" s="3"/>
      <c r="N553" s="4"/>
      <c r="O553" s="5" t="s">
        <v>21</v>
      </c>
      <c r="P553" s="5" t="s">
        <v>21</v>
      </c>
      <c r="Q553" s="5" t="s">
        <v>21</v>
      </c>
      <c r="R553" s="2"/>
      <c r="S553" s="5" t="s">
        <v>128</v>
      </c>
    </row>
    <row r="554" spans="2:19" hidden="1" x14ac:dyDescent="0.35">
      <c r="B554" s="5" t="s">
        <v>21</v>
      </c>
      <c r="C554" s="1">
        <v>301</v>
      </c>
      <c r="D554" s="5" t="s">
        <v>151</v>
      </c>
      <c r="E554" s="5" t="s">
        <v>108</v>
      </c>
      <c r="F554" s="6">
        <v>3.54</v>
      </c>
      <c r="H554" s="2">
        <v>46163</v>
      </c>
      <c r="I554" s="15">
        <f ca="1">TODAY()-Base_Relatório[[#This Row],[Plantio]]</f>
        <v>76</v>
      </c>
      <c r="K554" s="14">
        <v>46283</v>
      </c>
      <c r="L554" s="14" t="s">
        <v>189</v>
      </c>
      <c r="M554" s="3"/>
      <c r="N554" s="4"/>
      <c r="O554" s="5" t="s">
        <v>21</v>
      </c>
      <c r="P554" s="5" t="s">
        <v>21</v>
      </c>
      <c r="Q554" s="5" t="s">
        <v>21</v>
      </c>
      <c r="R554" s="2"/>
      <c r="S554" s="5" t="s">
        <v>128</v>
      </c>
    </row>
    <row r="555" spans="2:19" hidden="1" x14ac:dyDescent="0.35">
      <c r="B555" s="5" t="s">
        <v>21</v>
      </c>
      <c r="C555" s="1">
        <v>301</v>
      </c>
      <c r="D555" s="5" t="s">
        <v>151</v>
      </c>
      <c r="E555" s="5" t="s">
        <v>27</v>
      </c>
      <c r="F555" s="6">
        <v>32.08</v>
      </c>
      <c r="H555" s="2">
        <v>46169</v>
      </c>
      <c r="I555" s="15">
        <f ca="1">TODAY()-Base_Relatório[[#This Row],[Plantio]]</f>
        <v>70</v>
      </c>
      <c r="K555" s="14">
        <v>46289</v>
      </c>
      <c r="L555" s="14" t="s">
        <v>189</v>
      </c>
      <c r="M555" s="3"/>
      <c r="N555" s="4"/>
      <c r="O555" s="5" t="s">
        <v>21</v>
      </c>
      <c r="P555" s="5" t="s">
        <v>21</v>
      </c>
      <c r="Q555" s="5" t="s">
        <v>21</v>
      </c>
      <c r="R555" s="2"/>
      <c r="S555" s="5" t="s">
        <v>128</v>
      </c>
    </row>
    <row r="556" spans="2:19" hidden="1" x14ac:dyDescent="0.35">
      <c r="B556" s="5" t="s">
        <v>21</v>
      </c>
      <c r="C556" s="1">
        <v>301</v>
      </c>
      <c r="D556" s="5" t="s">
        <v>151</v>
      </c>
      <c r="E556" s="5" t="s">
        <v>28</v>
      </c>
      <c r="F556" s="6">
        <v>5.04</v>
      </c>
      <c r="H556" s="2">
        <v>46169</v>
      </c>
      <c r="I556" s="15">
        <f ca="1">TODAY()-Base_Relatório[[#This Row],[Plantio]]</f>
        <v>70</v>
      </c>
      <c r="K556" s="14">
        <v>46289</v>
      </c>
      <c r="L556" s="14" t="s">
        <v>189</v>
      </c>
      <c r="M556" s="3"/>
      <c r="N556" s="4"/>
      <c r="O556" s="5" t="s">
        <v>21</v>
      </c>
      <c r="P556" s="5" t="s">
        <v>21</v>
      </c>
      <c r="Q556" s="5" t="s">
        <v>21</v>
      </c>
      <c r="R556" s="2"/>
      <c r="S556" s="5" t="s">
        <v>128</v>
      </c>
    </row>
    <row r="557" spans="2:19" hidden="1" x14ac:dyDescent="0.35">
      <c r="B557" s="5" t="s">
        <v>21</v>
      </c>
      <c r="C557" s="1">
        <v>301</v>
      </c>
      <c r="D557" s="5" t="s">
        <v>151</v>
      </c>
      <c r="E557" s="5" t="s">
        <v>29</v>
      </c>
      <c r="F557" s="6">
        <v>11.42</v>
      </c>
      <c r="H557" s="2">
        <v>46171</v>
      </c>
      <c r="I557" s="15">
        <f ca="1">TODAY()-Base_Relatório[[#This Row],[Plantio]]</f>
        <v>68</v>
      </c>
      <c r="K557" s="14">
        <v>46291</v>
      </c>
      <c r="L557" s="14" t="s">
        <v>189</v>
      </c>
      <c r="M557" s="3"/>
      <c r="N557" s="4"/>
      <c r="O557" s="5" t="s">
        <v>21</v>
      </c>
      <c r="P557" s="5" t="s">
        <v>21</v>
      </c>
      <c r="Q557" s="5" t="s">
        <v>21</v>
      </c>
      <c r="R557" s="2"/>
      <c r="S557" s="5" t="s">
        <v>128</v>
      </c>
    </row>
    <row r="558" spans="2:19" hidden="1" x14ac:dyDescent="0.35">
      <c r="B558" s="5" t="s">
        <v>21</v>
      </c>
      <c r="C558" s="1">
        <v>301</v>
      </c>
      <c r="D558" s="5" t="s">
        <v>151</v>
      </c>
      <c r="E558" s="5" t="s">
        <v>152</v>
      </c>
      <c r="F558" s="6">
        <v>4.58</v>
      </c>
      <c r="H558" s="2">
        <v>46156</v>
      </c>
      <c r="I558" s="15">
        <f ca="1">TODAY()-Base_Relatório[[#This Row],[Plantio]]</f>
        <v>83</v>
      </c>
      <c r="K558" s="14">
        <v>46276</v>
      </c>
      <c r="L558" s="14" t="s">
        <v>189</v>
      </c>
      <c r="M558" s="3"/>
      <c r="N558" s="4"/>
      <c r="O558" s="5" t="s">
        <v>21</v>
      </c>
      <c r="P558" s="5" t="s">
        <v>21</v>
      </c>
      <c r="Q558" s="5" t="s">
        <v>21</v>
      </c>
      <c r="R558" s="2"/>
      <c r="S558" s="5" t="s">
        <v>128</v>
      </c>
    </row>
    <row r="559" spans="2:19" hidden="1" x14ac:dyDescent="0.35">
      <c r="B559" s="5" t="s">
        <v>21</v>
      </c>
      <c r="C559" s="1">
        <v>301</v>
      </c>
      <c r="D559" s="5" t="s">
        <v>151</v>
      </c>
      <c r="E559" s="5" t="s">
        <v>153</v>
      </c>
      <c r="F559" s="6">
        <v>21.5</v>
      </c>
      <c r="H559" s="2">
        <v>46162</v>
      </c>
      <c r="I559" s="15">
        <f ca="1">TODAY()-Base_Relatório[[#This Row],[Plantio]]</f>
        <v>77</v>
      </c>
      <c r="K559" s="14">
        <v>46282</v>
      </c>
      <c r="L559" s="14" t="s">
        <v>189</v>
      </c>
      <c r="M559" s="3"/>
      <c r="N559" s="4"/>
      <c r="O559" s="5" t="s">
        <v>21</v>
      </c>
      <c r="P559" s="5" t="s">
        <v>21</v>
      </c>
      <c r="Q559" s="5" t="s">
        <v>21</v>
      </c>
      <c r="R559" s="2"/>
      <c r="S559" s="5" t="s">
        <v>128</v>
      </c>
    </row>
    <row r="560" spans="2:19" hidden="1" x14ac:dyDescent="0.35">
      <c r="B560" s="5" t="s">
        <v>21</v>
      </c>
      <c r="C560" s="1">
        <v>301</v>
      </c>
      <c r="D560" s="5" t="s">
        <v>151</v>
      </c>
      <c r="E560" s="5" t="s">
        <v>171</v>
      </c>
      <c r="F560" s="6">
        <v>33</v>
      </c>
      <c r="H560" s="2">
        <v>46171</v>
      </c>
      <c r="I560" s="15">
        <f ca="1">TODAY()-Base_Relatório[[#This Row],[Plantio]]</f>
        <v>68</v>
      </c>
      <c r="K560" s="14">
        <v>46291</v>
      </c>
      <c r="L560" s="14" t="s">
        <v>189</v>
      </c>
      <c r="M560" s="3"/>
      <c r="N560" s="4"/>
      <c r="O560" s="5" t="s">
        <v>21</v>
      </c>
      <c r="P560" s="5" t="s">
        <v>21</v>
      </c>
      <c r="Q560" s="5" t="s">
        <v>21</v>
      </c>
      <c r="R560" s="2"/>
      <c r="S560" s="5" t="s">
        <v>128</v>
      </c>
    </row>
    <row r="561" spans="2:19" x14ac:dyDescent="0.35">
      <c r="B561" s="5" t="s">
        <v>21</v>
      </c>
      <c r="C561" s="1">
        <v>358</v>
      </c>
      <c r="D561" s="5" t="s">
        <v>154</v>
      </c>
      <c r="E561" s="5" t="s">
        <v>17</v>
      </c>
      <c r="F561" s="6">
        <v>42.58</v>
      </c>
      <c r="H561" s="2">
        <v>46183</v>
      </c>
      <c r="I561" s="15">
        <f ca="1">TODAY()-Base_Relatório[[#This Row],[Plantio]]</f>
        <v>56</v>
      </c>
      <c r="K561" s="14">
        <v>46303</v>
      </c>
      <c r="L561" s="14" t="s">
        <v>189</v>
      </c>
      <c r="M561" s="3"/>
      <c r="N561" s="4"/>
      <c r="O561" s="5" t="s">
        <v>21</v>
      </c>
      <c r="P561" s="5" t="s">
        <v>21</v>
      </c>
      <c r="Q561" s="5" t="s">
        <v>21</v>
      </c>
      <c r="R561" s="2"/>
      <c r="S561" s="5" t="s">
        <v>127</v>
      </c>
    </row>
    <row r="562" spans="2:19" x14ac:dyDescent="0.35">
      <c r="B562" s="5" t="s">
        <v>21</v>
      </c>
      <c r="C562" s="1">
        <v>358</v>
      </c>
      <c r="D562" s="5" t="s">
        <v>154</v>
      </c>
      <c r="E562" s="5" t="s">
        <v>23</v>
      </c>
      <c r="F562" s="6">
        <v>23.61</v>
      </c>
      <c r="H562" s="2">
        <v>46183</v>
      </c>
      <c r="I562" s="15">
        <f ca="1">TODAY()-Base_Relatório[[#This Row],[Plantio]]</f>
        <v>56</v>
      </c>
      <c r="K562" s="14">
        <v>46303</v>
      </c>
      <c r="L562" s="14" t="s">
        <v>189</v>
      </c>
      <c r="M562" s="3"/>
      <c r="N562" s="4"/>
      <c r="O562" s="5" t="s">
        <v>21</v>
      </c>
      <c r="P562" s="5" t="s">
        <v>21</v>
      </c>
      <c r="Q562" s="5" t="s">
        <v>21</v>
      </c>
      <c r="R562" s="2"/>
      <c r="S562" s="5" t="s">
        <v>127</v>
      </c>
    </row>
    <row r="563" spans="2:19" x14ac:dyDescent="0.35">
      <c r="B563" s="5" t="s">
        <v>21</v>
      </c>
      <c r="C563" s="1">
        <v>358</v>
      </c>
      <c r="D563" s="5" t="s">
        <v>154</v>
      </c>
      <c r="E563" s="5" t="s">
        <v>24</v>
      </c>
      <c r="F563" s="6">
        <v>15.45</v>
      </c>
      <c r="H563" s="2">
        <v>46183</v>
      </c>
      <c r="I563" s="15">
        <f ca="1">TODAY()-Base_Relatório[[#This Row],[Plantio]]</f>
        <v>56</v>
      </c>
      <c r="K563" s="14">
        <v>46303</v>
      </c>
      <c r="L563" s="14" t="s">
        <v>189</v>
      </c>
      <c r="M563" s="3"/>
      <c r="N563" s="4"/>
      <c r="O563" s="5" t="s">
        <v>21</v>
      </c>
      <c r="P563" s="5" t="s">
        <v>21</v>
      </c>
      <c r="Q563" s="5" t="s">
        <v>21</v>
      </c>
      <c r="R563" s="2"/>
      <c r="S563" s="5" t="s">
        <v>127</v>
      </c>
    </row>
    <row r="564" spans="2:19" x14ac:dyDescent="0.35">
      <c r="B564" s="5" t="s">
        <v>21</v>
      </c>
      <c r="C564" s="1">
        <v>358</v>
      </c>
      <c r="D564" s="5" t="s">
        <v>154</v>
      </c>
      <c r="E564" s="5" t="s">
        <v>31</v>
      </c>
      <c r="F564" s="6">
        <v>15.3</v>
      </c>
      <c r="H564" s="2">
        <v>46182</v>
      </c>
      <c r="I564" s="15">
        <f ca="1">TODAY()-Base_Relatório[[#This Row],[Plantio]]</f>
        <v>57</v>
      </c>
      <c r="K564" s="14">
        <v>46302</v>
      </c>
      <c r="L564" s="14" t="s">
        <v>189</v>
      </c>
      <c r="M564" s="3"/>
      <c r="N564" s="4"/>
      <c r="O564" s="5" t="s">
        <v>21</v>
      </c>
      <c r="P564" s="5" t="s">
        <v>21</v>
      </c>
      <c r="Q564" s="5" t="s">
        <v>21</v>
      </c>
      <c r="R564" s="2"/>
      <c r="S564" s="5" t="s">
        <v>127</v>
      </c>
    </row>
    <row r="565" spans="2:19" x14ac:dyDescent="0.35">
      <c r="B565" s="5" t="s">
        <v>21</v>
      </c>
      <c r="C565" s="1">
        <v>358</v>
      </c>
      <c r="D565" s="5" t="s">
        <v>154</v>
      </c>
      <c r="E565" s="5" t="s">
        <v>11</v>
      </c>
      <c r="F565" s="6">
        <v>23.33</v>
      </c>
      <c r="H565" s="2">
        <v>46181</v>
      </c>
      <c r="I565" s="15">
        <f ca="1">TODAY()-Base_Relatório[[#This Row],[Plantio]]</f>
        <v>58</v>
      </c>
      <c r="K565" s="14">
        <v>46301</v>
      </c>
      <c r="L565" s="14" t="s">
        <v>189</v>
      </c>
      <c r="M565" s="3"/>
      <c r="N565" s="4"/>
      <c r="O565" s="5" t="s">
        <v>21</v>
      </c>
      <c r="P565" s="5" t="s">
        <v>21</v>
      </c>
      <c r="Q565" s="5" t="s">
        <v>21</v>
      </c>
      <c r="R565" s="2"/>
      <c r="S565" s="5" t="s">
        <v>127</v>
      </c>
    </row>
    <row r="566" spans="2:19" x14ac:dyDescent="0.35">
      <c r="B566" s="5" t="s">
        <v>21</v>
      </c>
      <c r="C566" s="1">
        <v>358</v>
      </c>
      <c r="D566" s="5" t="s">
        <v>154</v>
      </c>
      <c r="E566" s="5" t="s">
        <v>32</v>
      </c>
      <c r="F566" s="6">
        <v>43.51</v>
      </c>
      <c r="H566" s="2">
        <v>46178</v>
      </c>
      <c r="I566" s="15">
        <f ca="1">TODAY()-Base_Relatório[[#This Row],[Plantio]]</f>
        <v>61</v>
      </c>
      <c r="K566" s="14">
        <v>46298</v>
      </c>
      <c r="L566" s="14" t="s">
        <v>189</v>
      </c>
      <c r="M566" s="3"/>
      <c r="N566" s="4"/>
      <c r="O566" s="5" t="s">
        <v>21</v>
      </c>
      <c r="P566" s="5" t="s">
        <v>21</v>
      </c>
      <c r="Q566" s="5" t="s">
        <v>21</v>
      </c>
      <c r="R566" s="2"/>
      <c r="S566" s="5" t="s">
        <v>127</v>
      </c>
    </row>
    <row r="567" spans="2:19" x14ac:dyDescent="0.35">
      <c r="B567" s="5" t="s">
        <v>21</v>
      </c>
      <c r="C567" s="1">
        <v>358</v>
      </c>
      <c r="D567" s="5" t="s">
        <v>154</v>
      </c>
      <c r="E567" s="5" t="s">
        <v>26</v>
      </c>
      <c r="F567" s="6">
        <v>32.33</v>
      </c>
      <c r="H567" s="2">
        <v>46175</v>
      </c>
      <c r="I567" s="15">
        <f ca="1">TODAY()-Base_Relatório[[#This Row],[Plantio]]</f>
        <v>64</v>
      </c>
      <c r="K567" s="14">
        <v>46295</v>
      </c>
      <c r="L567" s="14" t="s">
        <v>189</v>
      </c>
      <c r="M567" s="3"/>
      <c r="N567" s="4"/>
      <c r="O567" s="5" t="s">
        <v>21</v>
      </c>
      <c r="P567" s="5" t="s">
        <v>21</v>
      </c>
      <c r="Q567" s="5" t="s">
        <v>21</v>
      </c>
      <c r="R567" s="2"/>
      <c r="S567" s="5" t="s">
        <v>127</v>
      </c>
    </row>
    <row r="568" spans="2:19" x14ac:dyDescent="0.35">
      <c r="B568" s="5" t="s">
        <v>21</v>
      </c>
      <c r="C568" s="1">
        <v>358</v>
      </c>
      <c r="D568" s="5" t="s">
        <v>154</v>
      </c>
      <c r="E568" s="5" t="s">
        <v>49</v>
      </c>
      <c r="F568" s="6">
        <v>35.81</v>
      </c>
      <c r="H568" s="2">
        <v>46168</v>
      </c>
      <c r="I568" s="15">
        <f ca="1">TODAY()-Base_Relatório[[#This Row],[Plantio]]</f>
        <v>71</v>
      </c>
      <c r="K568" s="14">
        <v>46288</v>
      </c>
      <c r="L568" s="14" t="s">
        <v>189</v>
      </c>
      <c r="M568" s="3"/>
      <c r="N568" s="4"/>
      <c r="O568" s="5" t="s">
        <v>21</v>
      </c>
      <c r="P568" s="5" t="s">
        <v>21</v>
      </c>
      <c r="Q568" s="5" t="s">
        <v>21</v>
      </c>
      <c r="R568" s="2"/>
      <c r="S568" s="5" t="s">
        <v>127</v>
      </c>
    </row>
    <row r="569" spans="2:19" x14ac:dyDescent="0.35">
      <c r="B569" s="5" t="s">
        <v>21</v>
      </c>
      <c r="C569" s="1">
        <v>358</v>
      </c>
      <c r="D569" s="5" t="s">
        <v>154</v>
      </c>
      <c r="E569" s="5" t="s">
        <v>52</v>
      </c>
      <c r="F569" s="6">
        <v>35.96</v>
      </c>
      <c r="H569" s="2">
        <v>46163</v>
      </c>
      <c r="I569" s="15">
        <f ca="1">TODAY()-Base_Relatório[[#This Row],[Plantio]]</f>
        <v>76</v>
      </c>
      <c r="K569" s="14">
        <v>46283</v>
      </c>
      <c r="L569" s="14" t="s">
        <v>189</v>
      </c>
      <c r="M569" s="3"/>
      <c r="N569" s="4"/>
      <c r="O569" s="5" t="s">
        <v>21</v>
      </c>
      <c r="P569" s="5" t="s">
        <v>21</v>
      </c>
      <c r="Q569" s="5" t="s">
        <v>21</v>
      </c>
      <c r="R569" s="2"/>
      <c r="S569" s="5" t="s">
        <v>127</v>
      </c>
    </row>
    <row r="570" spans="2:19" x14ac:dyDescent="0.35">
      <c r="B570" s="5" t="s">
        <v>21</v>
      </c>
      <c r="C570" s="1">
        <v>358</v>
      </c>
      <c r="D570" s="5" t="s">
        <v>154</v>
      </c>
      <c r="E570" s="5" t="s">
        <v>54</v>
      </c>
      <c r="F570" s="6">
        <v>16.34</v>
      </c>
      <c r="H570" s="2">
        <v>46185</v>
      </c>
      <c r="I570" s="15">
        <f ca="1">TODAY()-Base_Relatório[[#This Row],[Plantio]]</f>
        <v>54</v>
      </c>
      <c r="K570" s="14">
        <v>46305</v>
      </c>
      <c r="L570" s="14" t="s">
        <v>189</v>
      </c>
      <c r="M570" s="3"/>
      <c r="N570" s="4"/>
      <c r="O570" s="5" t="s">
        <v>21</v>
      </c>
      <c r="P570" s="5" t="s">
        <v>21</v>
      </c>
      <c r="Q570" s="5" t="s">
        <v>21</v>
      </c>
      <c r="R570" s="2"/>
      <c r="S570" s="5" t="s">
        <v>127</v>
      </c>
    </row>
    <row r="571" spans="2:19" x14ac:dyDescent="0.35">
      <c r="B571" s="5" t="s">
        <v>21</v>
      </c>
      <c r="C571" s="1">
        <v>358</v>
      </c>
      <c r="D571" s="5" t="s">
        <v>154</v>
      </c>
      <c r="E571" s="5" t="s">
        <v>57</v>
      </c>
      <c r="F571" s="6">
        <v>34.21</v>
      </c>
      <c r="H571" s="2">
        <v>46161</v>
      </c>
      <c r="I571" s="15">
        <f ca="1">TODAY()-Base_Relatório[[#This Row],[Plantio]]</f>
        <v>78</v>
      </c>
      <c r="K571" s="14">
        <v>46281</v>
      </c>
      <c r="L571" s="14" t="s">
        <v>189</v>
      </c>
      <c r="M571" s="3"/>
      <c r="N571" s="4"/>
      <c r="O571" s="5" t="s">
        <v>21</v>
      </c>
      <c r="P571" s="5" t="s">
        <v>21</v>
      </c>
      <c r="Q571" s="5" t="s">
        <v>21</v>
      </c>
      <c r="R571" s="2"/>
      <c r="S571" s="5" t="s">
        <v>127</v>
      </c>
    </row>
    <row r="572" spans="2:19" x14ac:dyDescent="0.35">
      <c r="B572" s="5" t="s">
        <v>21</v>
      </c>
      <c r="C572" s="1">
        <v>358</v>
      </c>
      <c r="D572" s="5" t="s">
        <v>154</v>
      </c>
      <c r="E572" s="5" t="s">
        <v>84</v>
      </c>
      <c r="F572" s="6">
        <v>14.11</v>
      </c>
      <c r="H572" s="2">
        <v>46162</v>
      </c>
      <c r="I572" s="15">
        <f ca="1">TODAY()-Base_Relatório[[#This Row],[Plantio]]</f>
        <v>77</v>
      </c>
      <c r="K572" s="14">
        <v>46282</v>
      </c>
      <c r="L572" s="14" t="s">
        <v>189</v>
      </c>
      <c r="M572" s="3"/>
      <c r="N572" s="4"/>
      <c r="O572" s="5" t="s">
        <v>21</v>
      </c>
      <c r="P572" s="5" t="s">
        <v>21</v>
      </c>
      <c r="Q572" s="5" t="s">
        <v>21</v>
      </c>
      <c r="R572" s="2"/>
      <c r="S572" s="5" t="s">
        <v>127</v>
      </c>
    </row>
    <row r="573" spans="2:19" x14ac:dyDescent="0.35">
      <c r="B573" s="5" t="s">
        <v>21</v>
      </c>
      <c r="C573" s="1">
        <v>358</v>
      </c>
      <c r="D573" s="5" t="s">
        <v>154</v>
      </c>
      <c r="E573" s="5" t="s">
        <v>33</v>
      </c>
      <c r="F573" s="6">
        <v>20.85</v>
      </c>
      <c r="H573" s="2">
        <v>46163</v>
      </c>
      <c r="I573" s="15">
        <f ca="1">TODAY()-Base_Relatório[[#This Row],[Plantio]]</f>
        <v>76</v>
      </c>
      <c r="K573" s="14">
        <v>46283</v>
      </c>
      <c r="L573" s="14" t="s">
        <v>189</v>
      </c>
      <c r="M573" s="3"/>
      <c r="N573" s="4"/>
      <c r="O573" s="5" t="s">
        <v>21</v>
      </c>
      <c r="P573" s="5" t="s">
        <v>21</v>
      </c>
      <c r="Q573" s="5" t="s">
        <v>21</v>
      </c>
      <c r="R573" s="2"/>
      <c r="S573" s="5" t="s">
        <v>127</v>
      </c>
    </row>
    <row r="574" spans="2:19" x14ac:dyDescent="0.35">
      <c r="B574" s="5" t="s">
        <v>21</v>
      </c>
      <c r="C574" s="1">
        <v>358</v>
      </c>
      <c r="D574" s="5" t="s">
        <v>154</v>
      </c>
      <c r="E574" s="5" t="s">
        <v>85</v>
      </c>
      <c r="F574" s="6">
        <v>10.97</v>
      </c>
      <c r="H574" s="2">
        <v>46162</v>
      </c>
      <c r="I574" s="15">
        <f ca="1">TODAY()-Base_Relatório[[#This Row],[Plantio]]</f>
        <v>77</v>
      </c>
      <c r="K574" s="14">
        <v>46282</v>
      </c>
      <c r="L574" s="14" t="s">
        <v>189</v>
      </c>
      <c r="M574" s="3"/>
      <c r="N574" s="4"/>
      <c r="O574" s="5" t="s">
        <v>21</v>
      </c>
      <c r="P574" s="5" t="s">
        <v>21</v>
      </c>
      <c r="Q574" s="5" t="s">
        <v>21</v>
      </c>
      <c r="R574" s="2"/>
      <c r="S574" s="5" t="s">
        <v>127</v>
      </c>
    </row>
    <row r="575" spans="2:19" x14ac:dyDescent="0.35">
      <c r="B575" s="5" t="s">
        <v>21</v>
      </c>
      <c r="C575" s="1">
        <v>358</v>
      </c>
      <c r="D575" s="5" t="s">
        <v>154</v>
      </c>
      <c r="E575" s="5" t="s">
        <v>13</v>
      </c>
      <c r="F575" s="6">
        <v>10</v>
      </c>
      <c r="H575" s="2">
        <v>46185</v>
      </c>
      <c r="I575" s="15">
        <f ca="1">TODAY()-Base_Relatório[[#This Row],[Plantio]]</f>
        <v>54</v>
      </c>
      <c r="K575" s="14">
        <v>46305</v>
      </c>
      <c r="L575" s="14" t="s">
        <v>189</v>
      </c>
      <c r="M575" s="3"/>
      <c r="N575" s="4"/>
      <c r="O575" s="5" t="s">
        <v>21</v>
      </c>
      <c r="P575" s="5" t="s">
        <v>21</v>
      </c>
      <c r="Q575" s="5" t="s">
        <v>21</v>
      </c>
      <c r="R575" s="2"/>
      <c r="S575" s="5" t="s">
        <v>127</v>
      </c>
    </row>
    <row r="576" spans="2:19" x14ac:dyDescent="0.35">
      <c r="B576" s="5" t="s">
        <v>21</v>
      </c>
      <c r="C576" s="1">
        <v>358</v>
      </c>
      <c r="D576" s="5" t="s">
        <v>154</v>
      </c>
      <c r="E576" s="5" t="s">
        <v>55</v>
      </c>
      <c r="F576" s="6">
        <v>4.12</v>
      </c>
      <c r="H576" s="2">
        <v>46188</v>
      </c>
      <c r="I576" s="15">
        <f ca="1">TODAY()-Base_Relatório[[#This Row],[Plantio]]</f>
        <v>51</v>
      </c>
      <c r="K576" s="14">
        <v>46308</v>
      </c>
      <c r="L576" s="14" t="s">
        <v>189</v>
      </c>
      <c r="M576" s="3"/>
      <c r="N576" s="4"/>
      <c r="O576" s="5" t="s">
        <v>21</v>
      </c>
      <c r="P576" s="5" t="s">
        <v>21</v>
      </c>
      <c r="Q576" s="5" t="s">
        <v>21</v>
      </c>
      <c r="R576" s="2"/>
      <c r="S576" s="5" t="s">
        <v>127</v>
      </c>
    </row>
    <row r="577" spans="2:19" x14ac:dyDescent="0.35">
      <c r="B577" s="5" t="s">
        <v>21</v>
      </c>
      <c r="C577" s="1">
        <v>358</v>
      </c>
      <c r="D577" s="5" t="s">
        <v>154</v>
      </c>
      <c r="E577" s="5" t="s">
        <v>46</v>
      </c>
      <c r="F577" s="6">
        <v>34.6</v>
      </c>
      <c r="H577" s="2">
        <v>46184</v>
      </c>
      <c r="I577" s="15">
        <f ca="1">TODAY()-Base_Relatório[[#This Row],[Plantio]]</f>
        <v>55</v>
      </c>
      <c r="K577" s="14">
        <v>46304</v>
      </c>
      <c r="L577" s="14" t="s">
        <v>189</v>
      </c>
      <c r="M577" s="3"/>
      <c r="N577" s="4"/>
      <c r="O577" s="5" t="s">
        <v>21</v>
      </c>
      <c r="P577" s="5" t="s">
        <v>21</v>
      </c>
      <c r="Q577" s="5" t="s">
        <v>21</v>
      </c>
      <c r="R577" s="2"/>
      <c r="S577" s="5" t="s">
        <v>127</v>
      </c>
    </row>
    <row r="578" spans="2:19" hidden="1" x14ac:dyDescent="0.35">
      <c r="B578" s="5" t="s">
        <v>21</v>
      </c>
      <c r="C578" s="1">
        <v>251</v>
      </c>
      <c r="D578" s="5" t="s">
        <v>155</v>
      </c>
      <c r="E578" s="5" t="s">
        <v>101</v>
      </c>
      <c r="F578" s="6">
        <v>25.07</v>
      </c>
      <c r="H578" s="2">
        <v>46169</v>
      </c>
      <c r="I578" s="15">
        <f ca="1">TODAY()-Base_Relatório[[#This Row],[Plantio]]</f>
        <v>70</v>
      </c>
      <c r="K578" s="14">
        <v>46289</v>
      </c>
      <c r="L578" s="14" t="s">
        <v>189</v>
      </c>
      <c r="M578" s="3"/>
      <c r="N578" s="4"/>
      <c r="O578" s="5" t="s">
        <v>21</v>
      </c>
      <c r="P578" s="5" t="s">
        <v>21</v>
      </c>
      <c r="Q578" s="5" t="s">
        <v>21</v>
      </c>
      <c r="R578" s="2"/>
      <c r="S578" s="5" t="s">
        <v>126</v>
      </c>
    </row>
    <row r="579" spans="2:19" hidden="1" x14ac:dyDescent="0.35">
      <c r="B579" s="5" t="s">
        <v>21</v>
      </c>
      <c r="C579" s="1">
        <v>251</v>
      </c>
      <c r="D579" s="5" t="s">
        <v>155</v>
      </c>
      <c r="E579" s="5" t="s">
        <v>102</v>
      </c>
      <c r="F579" s="6">
        <v>23.42</v>
      </c>
      <c r="H579" s="2">
        <v>46172</v>
      </c>
      <c r="I579" s="15">
        <f ca="1">TODAY()-Base_Relatório[[#This Row],[Plantio]]</f>
        <v>67</v>
      </c>
      <c r="K579" s="14">
        <v>46292</v>
      </c>
      <c r="L579" s="14" t="s">
        <v>189</v>
      </c>
      <c r="M579" s="3"/>
      <c r="N579" s="4"/>
      <c r="O579" s="5" t="s">
        <v>21</v>
      </c>
      <c r="P579" s="5" t="s">
        <v>21</v>
      </c>
      <c r="Q579" s="5" t="s">
        <v>21</v>
      </c>
      <c r="R579" s="2"/>
      <c r="S579" s="5" t="s">
        <v>126</v>
      </c>
    </row>
    <row r="580" spans="2:19" hidden="1" x14ac:dyDescent="0.35">
      <c r="B580" s="5" t="s">
        <v>21</v>
      </c>
      <c r="C580" s="1">
        <v>251</v>
      </c>
      <c r="D580" s="5" t="s">
        <v>155</v>
      </c>
      <c r="E580" s="5" t="s">
        <v>92</v>
      </c>
      <c r="F580" s="6">
        <v>13.23</v>
      </c>
      <c r="H580" s="2">
        <v>46178</v>
      </c>
      <c r="I580" s="15">
        <f ca="1">TODAY()-Base_Relatório[[#This Row],[Plantio]]</f>
        <v>61</v>
      </c>
      <c r="K580" s="14">
        <v>46298</v>
      </c>
      <c r="L580" s="14" t="s">
        <v>189</v>
      </c>
      <c r="M580" s="3"/>
      <c r="N580" s="4"/>
      <c r="O580" s="5" t="s">
        <v>21</v>
      </c>
      <c r="P580" s="5" t="s">
        <v>21</v>
      </c>
      <c r="Q580" s="5" t="s">
        <v>21</v>
      </c>
      <c r="R580" s="2"/>
      <c r="S580" s="5" t="s">
        <v>126</v>
      </c>
    </row>
    <row r="581" spans="2:19" hidden="1" x14ac:dyDescent="0.35">
      <c r="B581" s="5" t="s">
        <v>21</v>
      </c>
      <c r="C581" s="1">
        <v>251</v>
      </c>
      <c r="D581" s="5" t="s">
        <v>155</v>
      </c>
      <c r="E581" s="5" t="s">
        <v>63</v>
      </c>
      <c r="F581" s="6">
        <v>31.79</v>
      </c>
      <c r="H581" s="2">
        <v>46161</v>
      </c>
      <c r="I581" s="15">
        <f ca="1">TODAY()-Base_Relatório[[#This Row],[Plantio]]</f>
        <v>78</v>
      </c>
      <c r="K581" s="14">
        <v>46281</v>
      </c>
      <c r="L581" s="14" t="s">
        <v>189</v>
      </c>
      <c r="M581" s="3"/>
      <c r="N581" s="4"/>
      <c r="O581" s="5" t="s">
        <v>21</v>
      </c>
      <c r="P581" s="5" t="s">
        <v>21</v>
      </c>
      <c r="Q581" s="5" t="s">
        <v>21</v>
      </c>
      <c r="R581" s="2"/>
      <c r="S581" s="5" t="s">
        <v>126</v>
      </c>
    </row>
    <row r="582" spans="2:19" hidden="1" x14ac:dyDescent="0.35">
      <c r="B582" s="5" t="s">
        <v>21</v>
      </c>
      <c r="C582" s="1">
        <v>251</v>
      </c>
      <c r="D582" s="5" t="s">
        <v>155</v>
      </c>
      <c r="E582" s="5" t="s">
        <v>64</v>
      </c>
      <c r="F582" s="6">
        <v>24.8</v>
      </c>
      <c r="H582" s="2">
        <v>46163</v>
      </c>
      <c r="I582" s="15">
        <f ca="1">TODAY()-Base_Relatório[[#This Row],[Plantio]]</f>
        <v>76</v>
      </c>
      <c r="K582" s="14">
        <v>46283</v>
      </c>
      <c r="L582" s="14" t="s">
        <v>189</v>
      </c>
      <c r="M582" s="3"/>
      <c r="N582" s="4"/>
      <c r="O582" s="5" t="s">
        <v>21</v>
      </c>
      <c r="P582" s="5" t="s">
        <v>21</v>
      </c>
      <c r="Q582" s="5" t="s">
        <v>21</v>
      </c>
      <c r="R582" s="2"/>
      <c r="S582" s="5" t="s">
        <v>126</v>
      </c>
    </row>
    <row r="583" spans="2:19" hidden="1" x14ac:dyDescent="0.35">
      <c r="B583" s="5" t="s">
        <v>21</v>
      </c>
      <c r="C583" s="1">
        <v>251</v>
      </c>
      <c r="D583" s="5" t="s">
        <v>155</v>
      </c>
      <c r="E583" s="5" t="s">
        <v>65</v>
      </c>
      <c r="F583" s="6">
        <v>29.9</v>
      </c>
      <c r="H583" s="2">
        <v>46163</v>
      </c>
      <c r="I583" s="15">
        <f ca="1">TODAY()-Base_Relatório[[#This Row],[Plantio]]</f>
        <v>76</v>
      </c>
      <c r="K583" s="14">
        <v>46283</v>
      </c>
      <c r="L583" s="14" t="s">
        <v>189</v>
      </c>
      <c r="M583" s="3"/>
      <c r="N583" s="4"/>
      <c r="O583" s="5" t="s">
        <v>21</v>
      </c>
      <c r="P583" s="5" t="s">
        <v>21</v>
      </c>
      <c r="Q583" s="5" t="s">
        <v>21</v>
      </c>
      <c r="R583" s="2"/>
      <c r="S583" s="5" t="s">
        <v>126</v>
      </c>
    </row>
    <row r="584" spans="2:19" hidden="1" x14ac:dyDescent="0.35">
      <c r="B584" s="5" t="s">
        <v>21</v>
      </c>
      <c r="C584" s="1">
        <v>251</v>
      </c>
      <c r="D584" s="5" t="s">
        <v>155</v>
      </c>
      <c r="E584" s="5" t="s">
        <v>66</v>
      </c>
      <c r="F584" s="6">
        <v>33.090000000000003</v>
      </c>
      <c r="H584" s="2">
        <v>46162</v>
      </c>
      <c r="I584" s="15">
        <f ca="1">TODAY()-Base_Relatório[[#This Row],[Plantio]]</f>
        <v>77</v>
      </c>
      <c r="K584" s="14">
        <v>46282</v>
      </c>
      <c r="L584" s="14" t="s">
        <v>189</v>
      </c>
      <c r="M584" s="3"/>
      <c r="N584" s="4"/>
      <c r="O584" s="5" t="s">
        <v>21</v>
      </c>
      <c r="P584" s="5" t="s">
        <v>21</v>
      </c>
      <c r="Q584" s="5" t="s">
        <v>21</v>
      </c>
      <c r="R584" s="2"/>
      <c r="S584" s="5" t="s">
        <v>126</v>
      </c>
    </row>
    <row r="585" spans="2:19" hidden="1" x14ac:dyDescent="0.35">
      <c r="B585" s="5" t="s">
        <v>21</v>
      </c>
      <c r="C585" s="1">
        <v>251</v>
      </c>
      <c r="D585" s="5" t="s">
        <v>155</v>
      </c>
      <c r="E585" s="5" t="s">
        <v>67</v>
      </c>
      <c r="F585" s="6">
        <v>16.579999999999998</v>
      </c>
      <c r="H585" s="2">
        <v>46164</v>
      </c>
      <c r="I585" s="15">
        <f ca="1">TODAY()-Base_Relatório[[#This Row],[Plantio]]</f>
        <v>75</v>
      </c>
      <c r="K585" s="14">
        <v>46284</v>
      </c>
      <c r="L585" s="14" t="s">
        <v>189</v>
      </c>
      <c r="M585" s="3"/>
      <c r="N585" s="4"/>
      <c r="O585" s="5" t="s">
        <v>21</v>
      </c>
      <c r="P585" s="5" t="s">
        <v>21</v>
      </c>
      <c r="Q585" s="5" t="s">
        <v>21</v>
      </c>
      <c r="R585" s="2"/>
      <c r="S585" s="5" t="s">
        <v>126</v>
      </c>
    </row>
    <row r="586" spans="2:19" hidden="1" x14ac:dyDescent="0.35">
      <c r="B586" s="5" t="s">
        <v>21</v>
      </c>
      <c r="C586" s="1">
        <v>251</v>
      </c>
      <c r="D586" s="5" t="s">
        <v>155</v>
      </c>
      <c r="E586" s="5" t="s">
        <v>68</v>
      </c>
      <c r="F586" s="6">
        <v>17.13</v>
      </c>
      <c r="H586" s="2">
        <v>46167</v>
      </c>
      <c r="I586" s="15">
        <f ca="1">TODAY()-Base_Relatório[[#This Row],[Plantio]]</f>
        <v>72</v>
      </c>
      <c r="K586" s="14">
        <v>46287</v>
      </c>
      <c r="L586" s="14" t="s">
        <v>189</v>
      </c>
      <c r="M586" s="3"/>
      <c r="N586" s="4"/>
      <c r="O586" s="5" t="s">
        <v>21</v>
      </c>
      <c r="P586" s="5" t="s">
        <v>21</v>
      </c>
      <c r="Q586" s="5" t="s">
        <v>21</v>
      </c>
      <c r="R586" s="2"/>
      <c r="S586" s="5" t="s">
        <v>126</v>
      </c>
    </row>
    <row r="587" spans="2:19" hidden="1" x14ac:dyDescent="0.35">
      <c r="B587" s="5" t="s">
        <v>21</v>
      </c>
      <c r="C587" s="1">
        <v>251</v>
      </c>
      <c r="D587" s="5" t="s">
        <v>155</v>
      </c>
      <c r="E587" s="5" t="s">
        <v>69</v>
      </c>
      <c r="F587" s="6">
        <v>23.61</v>
      </c>
      <c r="H587" s="2">
        <v>46161</v>
      </c>
      <c r="I587" s="15">
        <f ca="1">TODAY()-Base_Relatório[[#This Row],[Plantio]]</f>
        <v>78</v>
      </c>
      <c r="K587" s="14">
        <v>46281</v>
      </c>
      <c r="L587" s="14" t="s">
        <v>189</v>
      </c>
      <c r="M587" s="3"/>
      <c r="N587" s="4"/>
      <c r="O587" s="5" t="s">
        <v>21</v>
      </c>
      <c r="P587" s="5" t="s">
        <v>21</v>
      </c>
      <c r="Q587" s="5" t="s">
        <v>21</v>
      </c>
      <c r="R587" s="2"/>
      <c r="S587" s="5" t="s">
        <v>126</v>
      </c>
    </row>
    <row r="588" spans="2:19" hidden="1" x14ac:dyDescent="0.35">
      <c r="B588" s="5" t="s">
        <v>21</v>
      </c>
      <c r="C588" s="1">
        <v>251</v>
      </c>
      <c r="D588" s="5" t="s">
        <v>155</v>
      </c>
      <c r="E588" s="5" t="s">
        <v>94</v>
      </c>
      <c r="F588" s="6">
        <v>35.65</v>
      </c>
      <c r="H588" s="2">
        <v>46162</v>
      </c>
      <c r="I588" s="15">
        <f ca="1">TODAY()-Base_Relatório[[#This Row],[Plantio]]</f>
        <v>77</v>
      </c>
      <c r="K588" s="14">
        <v>46282</v>
      </c>
      <c r="L588" s="14" t="s">
        <v>189</v>
      </c>
      <c r="M588" s="3"/>
      <c r="N588" s="4"/>
      <c r="O588" s="5" t="s">
        <v>21</v>
      </c>
      <c r="P588" s="5" t="s">
        <v>21</v>
      </c>
      <c r="Q588" s="5" t="s">
        <v>21</v>
      </c>
      <c r="R588" s="2"/>
      <c r="S588" s="5" t="s">
        <v>126</v>
      </c>
    </row>
    <row r="589" spans="2:19" hidden="1" x14ac:dyDescent="0.35">
      <c r="B589" s="5" t="s">
        <v>21</v>
      </c>
      <c r="C589" s="1">
        <v>251</v>
      </c>
      <c r="D589" s="5" t="s">
        <v>155</v>
      </c>
      <c r="E589" s="5" t="s">
        <v>172</v>
      </c>
      <c r="F589" s="6">
        <v>35.33</v>
      </c>
      <c r="H589" s="2">
        <v>46169</v>
      </c>
      <c r="I589" s="15">
        <f ca="1">TODAY()-Base_Relatório[[#This Row],[Plantio]]</f>
        <v>70</v>
      </c>
      <c r="K589" s="14">
        <v>46289</v>
      </c>
      <c r="L589" s="14" t="s">
        <v>189</v>
      </c>
      <c r="M589" s="3"/>
      <c r="N589" s="4"/>
      <c r="O589" s="5" t="s">
        <v>21</v>
      </c>
      <c r="P589" s="5" t="s">
        <v>21</v>
      </c>
      <c r="Q589" s="5" t="s">
        <v>21</v>
      </c>
      <c r="R589" s="2"/>
      <c r="S589" s="5" t="s">
        <v>126</v>
      </c>
    </row>
    <row r="590" spans="2:19" x14ac:dyDescent="0.35">
      <c r="B590" s="5" t="s">
        <v>21</v>
      </c>
      <c r="C590" s="1">
        <v>325</v>
      </c>
      <c r="D590" s="5" t="s">
        <v>173</v>
      </c>
      <c r="E590" s="5" t="s">
        <v>48</v>
      </c>
      <c r="F590" s="6">
        <v>30.36</v>
      </c>
      <c r="H590" s="2">
        <v>46178</v>
      </c>
      <c r="I590" s="15">
        <f ca="1">TODAY()-Base_Relatório[[#This Row],[Plantio]]</f>
        <v>61</v>
      </c>
      <c r="K590" s="14">
        <v>46298</v>
      </c>
      <c r="L590" s="14" t="s">
        <v>189</v>
      </c>
      <c r="M590" s="3"/>
      <c r="N590" s="4"/>
      <c r="O590" s="5" t="s">
        <v>21</v>
      </c>
      <c r="P590" s="5" t="s">
        <v>21</v>
      </c>
      <c r="Q590" s="5" t="s">
        <v>21</v>
      </c>
      <c r="R590" s="2"/>
      <c r="S590" s="5" t="s">
        <v>127</v>
      </c>
    </row>
    <row r="591" spans="2:19" x14ac:dyDescent="0.35">
      <c r="B591" s="5" t="s">
        <v>21</v>
      </c>
      <c r="C591" s="1">
        <v>325</v>
      </c>
      <c r="D591" s="5" t="s">
        <v>173</v>
      </c>
      <c r="E591" s="5" t="s">
        <v>32</v>
      </c>
      <c r="F591" s="6">
        <v>21.55</v>
      </c>
      <c r="H591" s="2">
        <v>46182</v>
      </c>
      <c r="I591" s="15">
        <f ca="1">TODAY()-Base_Relatório[[#This Row],[Plantio]]</f>
        <v>57</v>
      </c>
      <c r="K591" s="14">
        <v>46302</v>
      </c>
      <c r="L591" s="14" t="s">
        <v>189</v>
      </c>
      <c r="M591" s="3"/>
      <c r="N591" s="4"/>
      <c r="O591" s="5" t="s">
        <v>21</v>
      </c>
      <c r="P591" s="5" t="s">
        <v>21</v>
      </c>
      <c r="Q591" s="5" t="s">
        <v>21</v>
      </c>
      <c r="R591" s="2"/>
      <c r="S591" s="5" t="s">
        <v>127</v>
      </c>
    </row>
    <row r="592" spans="2:19" x14ac:dyDescent="0.35">
      <c r="B592" s="5" t="s">
        <v>21</v>
      </c>
      <c r="C592" s="1">
        <v>325</v>
      </c>
      <c r="D592" s="5" t="s">
        <v>173</v>
      </c>
      <c r="E592" s="5" t="s">
        <v>174</v>
      </c>
      <c r="F592" s="6">
        <v>32.79</v>
      </c>
      <c r="H592" s="2">
        <v>46185</v>
      </c>
      <c r="I592" s="15">
        <f ca="1">TODAY()-Base_Relatório[[#This Row],[Plantio]]</f>
        <v>54</v>
      </c>
      <c r="K592" s="14">
        <v>46305</v>
      </c>
      <c r="L592" s="14" t="s">
        <v>189</v>
      </c>
      <c r="M592" s="3"/>
      <c r="N592" s="4"/>
      <c r="O592" s="5" t="s">
        <v>21</v>
      </c>
      <c r="P592" s="5" t="s">
        <v>21</v>
      </c>
      <c r="Q592" s="5" t="s">
        <v>21</v>
      </c>
      <c r="R592" s="2"/>
      <c r="S592" s="5" t="s">
        <v>127</v>
      </c>
    </row>
    <row r="593" spans="2:19" x14ac:dyDescent="0.35">
      <c r="B593" s="5" t="s">
        <v>21</v>
      </c>
      <c r="C593" s="1">
        <v>325</v>
      </c>
      <c r="D593" s="5" t="s">
        <v>173</v>
      </c>
      <c r="E593" s="5" t="s">
        <v>170</v>
      </c>
      <c r="F593" s="6">
        <v>12.46</v>
      </c>
      <c r="H593" s="2">
        <v>46185</v>
      </c>
      <c r="I593" s="15">
        <f ca="1">TODAY()-Base_Relatório[[#This Row],[Plantio]]</f>
        <v>54</v>
      </c>
      <c r="K593" s="14">
        <v>46305</v>
      </c>
      <c r="L593" s="14" t="s">
        <v>189</v>
      </c>
      <c r="M593" s="3"/>
      <c r="N593" s="4"/>
      <c r="O593" s="5" t="s">
        <v>21</v>
      </c>
      <c r="P593" s="5" t="s">
        <v>21</v>
      </c>
      <c r="Q593" s="5" t="s">
        <v>21</v>
      </c>
      <c r="R593" s="2"/>
      <c r="S593" s="5" t="s">
        <v>127</v>
      </c>
    </row>
    <row r="594" spans="2:19" x14ac:dyDescent="0.35">
      <c r="B594" s="5" t="s">
        <v>21</v>
      </c>
      <c r="C594" s="1">
        <v>325</v>
      </c>
      <c r="D594" s="5" t="s">
        <v>173</v>
      </c>
      <c r="E594" s="5" t="s">
        <v>175</v>
      </c>
      <c r="F594" s="6">
        <v>1.82</v>
      </c>
      <c r="H594" s="2">
        <v>46188</v>
      </c>
      <c r="I594" s="15">
        <f ca="1">TODAY()-Base_Relatório[[#This Row],[Plantio]]</f>
        <v>51</v>
      </c>
      <c r="K594" s="14">
        <v>46308</v>
      </c>
      <c r="L594" s="14" t="s">
        <v>189</v>
      </c>
      <c r="M594" s="3"/>
      <c r="N594" s="4"/>
      <c r="O594" s="5" t="s">
        <v>21</v>
      </c>
      <c r="P594" s="5" t="s">
        <v>21</v>
      </c>
      <c r="Q594" s="5" t="s">
        <v>21</v>
      </c>
      <c r="R594" s="2"/>
      <c r="S594" s="5" t="s">
        <v>127</v>
      </c>
    </row>
    <row r="595" spans="2:19" hidden="1" x14ac:dyDescent="0.35">
      <c r="B595" s="5" t="s">
        <v>21</v>
      </c>
      <c r="C595" s="1">
        <v>338</v>
      </c>
      <c r="D595" s="5" t="s">
        <v>176</v>
      </c>
      <c r="E595" s="5" t="s">
        <v>70</v>
      </c>
      <c r="F595" s="6">
        <v>51.7</v>
      </c>
      <c r="H595" s="2">
        <v>46188</v>
      </c>
      <c r="I595" s="15">
        <f ca="1">TODAY()-Base_Relatório[[#This Row],[Plantio]]</f>
        <v>51</v>
      </c>
      <c r="K595" s="14">
        <v>46308</v>
      </c>
      <c r="L595" s="14" t="s">
        <v>189</v>
      </c>
      <c r="M595" s="3"/>
      <c r="N595" s="4"/>
      <c r="O595" s="5" t="s">
        <v>21</v>
      </c>
      <c r="P595" s="5" t="s">
        <v>21</v>
      </c>
      <c r="Q595" s="5" t="s">
        <v>21</v>
      </c>
      <c r="R595" s="2"/>
      <c r="S595" s="5" t="s">
        <v>126</v>
      </c>
    </row>
    <row r="596" spans="2:19" hidden="1" x14ac:dyDescent="0.35">
      <c r="B596" s="5" t="s">
        <v>21</v>
      </c>
      <c r="C596" s="1">
        <v>338</v>
      </c>
      <c r="D596" s="5" t="s">
        <v>176</v>
      </c>
      <c r="E596" s="5" t="s">
        <v>71</v>
      </c>
      <c r="F596" s="6">
        <v>19.920000000000002</v>
      </c>
      <c r="H596" s="2">
        <v>46186</v>
      </c>
      <c r="I596" s="15">
        <f ca="1">TODAY()-Base_Relatório[[#This Row],[Plantio]]</f>
        <v>53</v>
      </c>
      <c r="K596" s="14">
        <v>46306</v>
      </c>
      <c r="L596" s="14" t="s">
        <v>189</v>
      </c>
      <c r="M596" s="3"/>
      <c r="N596" s="4"/>
      <c r="O596" s="5" t="s">
        <v>21</v>
      </c>
      <c r="P596" s="5" t="s">
        <v>21</v>
      </c>
      <c r="Q596" s="5" t="s">
        <v>21</v>
      </c>
      <c r="R596" s="2"/>
      <c r="S596" s="5" t="s">
        <v>126</v>
      </c>
    </row>
    <row r="597" spans="2:19" hidden="1" x14ac:dyDescent="0.35">
      <c r="B597" s="5" t="s">
        <v>21</v>
      </c>
      <c r="C597" s="1">
        <v>338</v>
      </c>
      <c r="D597" s="5" t="s">
        <v>176</v>
      </c>
      <c r="E597" s="5" t="s">
        <v>72</v>
      </c>
      <c r="F597" s="6">
        <v>38.130000000000003</v>
      </c>
      <c r="H597" s="2">
        <v>46182</v>
      </c>
      <c r="I597" s="15">
        <f ca="1">TODAY()-Base_Relatório[[#This Row],[Plantio]]</f>
        <v>57</v>
      </c>
      <c r="K597" s="14">
        <v>46302</v>
      </c>
      <c r="L597" s="14" t="s">
        <v>189</v>
      </c>
      <c r="M597" s="3"/>
      <c r="N597" s="4"/>
      <c r="O597" s="5" t="s">
        <v>21</v>
      </c>
      <c r="P597" s="5" t="s">
        <v>21</v>
      </c>
      <c r="Q597" s="5" t="s">
        <v>21</v>
      </c>
      <c r="R597" s="2"/>
      <c r="S597" s="5" t="s">
        <v>126</v>
      </c>
    </row>
    <row r="598" spans="2:19" hidden="1" x14ac:dyDescent="0.35">
      <c r="B598" s="5" t="s">
        <v>21</v>
      </c>
      <c r="C598" s="1">
        <v>338</v>
      </c>
      <c r="D598" s="5" t="s">
        <v>176</v>
      </c>
      <c r="E598" s="5" t="s">
        <v>73</v>
      </c>
      <c r="F598" s="6">
        <v>60.32</v>
      </c>
      <c r="H598" s="2">
        <v>46186</v>
      </c>
      <c r="I598" s="15">
        <f ca="1">TODAY()-Base_Relatório[[#This Row],[Plantio]]</f>
        <v>53</v>
      </c>
      <c r="K598" s="14">
        <v>46306</v>
      </c>
      <c r="L598" s="14" t="s">
        <v>189</v>
      </c>
      <c r="M598" s="3"/>
      <c r="N598" s="4"/>
      <c r="O598" s="5" t="s">
        <v>21</v>
      </c>
      <c r="P598" s="5" t="s">
        <v>21</v>
      </c>
      <c r="Q598" s="5" t="s">
        <v>21</v>
      </c>
      <c r="R598" s="2"/>
      <c r="S598" s="5" t="s">
        <v>126</v>
      </c>
    </row>
    <row r="599" spans="2:19" hidden="1" x14ac:dyDescent="0.35">
      <c r="B599" s="5" t="s">
        <v>21</v>
      </c>
      <c r="C599" s="1">
        <v>338</v>
      </c>
      <c r="D599" s="5" t="s">
        <v>176</v>
      </c>
      <c r="E599" s="5" t="s">
        <v>177</v>
      </c>
      <c r="F599" s="6">
        <v>43.33</v>
      </c>
      <c r="H599" s="2">
        <v>46180</v>
      </c>
      <c r="I599" s="15">
        <f ca="1">TODAY()-Base_Relatório[[#This Row],[Plantio]]</f>
        <v>59</v>
      </c>
      <c r="K599" s="14">
        <v>46300</v>
      </c>
      <c r="L599" s="14" t="s">
        <v>189</v>
      </c>
      <c r="M599" s="3"/>
      <c r="N599" s="4"/>
      <c r="O599" s="5" t="s">
        <v>21</v>
      </c>
      <c r="P599" s="5" t="s">
        <v>21</v>
      </c>
      <c r="Q599" s="5" t="s">
        <v>21</v>
      </c>
      <c r="R599" s="2"/>
      <c r="S599" s="5" t="s">
        <v>126</v>
      </c>
    </row>
    <row r="600" spans="2:19" x14ac:dyDescent="0.35">
      <c r="B600" s="5" t="s">
        <v>21</v>
      </c>
      <c r="C600" s="1">
        <v>341</v>
      </c>
      <c r="D600" s="5" t="s">
        <v>178</v>
      </c>
      <c r="E600" s="5" t="s">
        <v>20</v>
      </c>
      <c r="F600" s="6">
        <v>26.8</v>
      </c>
      <c r="H600" s="2">
        <v>46188</v>
      </c>
      <c r="I600" s="15">
        <f ca="1">TODAY()-Base_Relatório[[#This Row],[Plantio]]</f>
        <v>51</v>
      </c>
      <c r="K600" s="14">
        <v>46308</v>
      </c>
      <c r="L600" s="14" t="s">
        <v>189</v>
      </c>
      <c r="M600" s="3"/>
      <c r="N600" s="4"/>
      <c r="O600" s="5" t="s">
        <v>21</v>
      </c>
      <c r="P600" s="5" t="s">
        <v>21</v>
      </c>
      <c r="Q600" s="5" t="s">
        <v>21</v>
      </c>
      <c r="R600" s="2"/>
      <c r="S600" s="5" t="s">
        <v>127</v>
      </c>
    </row>
    <row r="601" spans="2:19" x14ac:dyDescent="0.35">
      <c r="B601" s="5" t="s">
        <v>21</v>
      </c>
      <c r="C601" s="1">
        <v>341</v>
      </c>
      <c r="D601" s="5" t="s">
        <v>178</v>
      </c>
      <c r="E601" s="5" t="s">
        <v>23</v>
      </c>
      <c r="F601" s="6">
        <v>31.13</v>
      </c>
      <c r="H601" s="2">
        <v>46177</v>
      </c>
      <c r="I601" s="15">
        <f ca="1">TODAY()-Base_Relatório[[#This Row],[Plantio]]</f>
        <v>62</v>
      </c>
      <c r="K601" s="14">
        <v>46297</v>
      </c>
      <c r="L601" s="14" t="s">
        <v>189</v>
      </c>
      <c r="M601" s="3"/>
      <c r="N601" s="4"/>
      <c r="O601" s="5" t="s">
        <v>21</v>
      </c>
      <c r="P601" s="5" t="s">
        <v>21</v>
      </c>
      <c r="Q601" s="5" t="s">
        <v>21</v>
      </c>
      <c r="R601" s="2"/>
      <c r="S601" s="5" t="s">
        <v>127</v>
      </c>
    </row>
    <row r="602" spans="2:19" x14ac:dyDescent="0.35">
      <c r="B602" s="5" t="s">
        <v>21</v>
      </c>
      <c r="C602" s="1">
        <v>341</v>
      </c>
      <c r="D602" s="5" t="s">
        <v>178</v>
      </c>
      <c r="E602" s="5" t="s">
        <v>24</v>
      </c>
      <c r="F602" s="6">
        <v>44.56</v>
      </c>
      <c r="H602" s="2">
        <v>46174</v>
      </c>
      <c r="I602" s="15">
        <f ca="1">TODAY()-Base_Relatório[[#This Row],[Plantio]]</f>
        <v>65</v>
      </c>
      <c r="K602" s="14">
        <v>46294</v>
      </c>
      <c r="L602" s="14" t="s">
        <v>189</v>
      </c>
      <c r="M602" s="3"/>
      <c r="N602" s="4"/>
      <c r="O602" s="5" t="s">
        <v>21</v>
      </c>
      <c r="P602" s="5" t="s">
        <v>21</v>
      </c>
      <c r="Q602" s="5" t="s">
        <v>21</v>
      </c>
      <c r="R602" s="2"/>
      <c r="S602" s="5" t="s">
        <v>127</v>
      </c>
    </row>
    <row r="603" spans="2:19" x14ac:dyDescent="0.35">
      <c r="B603" s="5" t="s">
        <v>21</v>
      </c>
      <c r="C603" s="1">
        <v>341</v>
      </c>
      <c r="D603" s="5" t="s">
        <v>178</v>
      </c>
      <c r="E603" s="5" t="s">
        <v>31</v>
      </c>
      <c r="F603" s="6">
        <v>10.45</v>
      </c>
      <c r="H603" s="2">
        <v>46181</v>
      </c>
      <c r="I603" s="15">
        <f ca="1">TODAY()-Base_Relatório[[#This Row],[Plantio]]</f>
        <v>58</v>
      </c>
      <c r="K603" s="14">
        <v>46301</v>
      </c>
      <c r="L603" s="14" t="s">
        <v>189</v>
      </c>
      <c r="M603" s="3"/>
      <c r="N603" s="4"/>
      <c r="O603" s="5" t="s">
        <v>21</v>
      </c>
      <c r="P603" s="5" t="s">
        <v>21</v>
      </c>
      <c r="Q603" s="5" t="s">
        <v>21</v>
      </c>
      <c r="R603" s="2"/>
      <c r="S603" s="5" t="s">
        <v>127</v>
      </c>
    </row>
    <row r="604" spans="2:19" x14ac:dyDescent="0.35">
      <c r="B604" s="5" t="s">
        <v>21</v>
      </c>
      <c r="C604" s="1">
        <v>341</v>
      </c>
      <c r="D604" s="5" t="s">
        <v>178</v>
      </c>
      <c r="E604" s="5" t="s">
        <v>25</v>
      </c>
      <c r="F604" s="6">
        <v>5.1100000000000003</v>
      </c>
      <c r="H604" s="2">
        <v>46181</v>
      </c>
      <c r="I604" s="15">
        <f ca="1">TODAY()-Base_Relatório[[#This Row],[Plantio]]</f>
        <v>58</v>
      </c>
      <c r="K604" s="14">
        <v>46301</v>
      </c>
      <c r="L604" s="14" t="s">
        <v>189</v>
      </c>
      <c r="M604" s="3"/>
      <c r="N604" s="4"/>
      <c r="O604" s="5" t="s">
        <v>21</v>
      </c>
      <c r="P604" s="5" t="s">
        <v>21</v>
      </c>
      <c r="Q604" s="5" t="s">
        <v>21</v>
      </c>
      <c r="R604" s="2"/>
      <c r="S604" s="5" t="s">
        <v>127</v>
      </c>
    </row>
    <row r="605" spans="2:19" x14ac:dyDescent="0.35">
      <c r="B605" s="5" t="s">
        <v>21</v>
      </c>
      <c r="C605" s="1">
        <v>341</v>
      </c>
      <c r="D605" s="5" t="s">
        <v>178</v>
      </c>
      <c r="E605" s="5" t="s">
        <v>11</v>
      </c>
      <c r="F605" s="6">
        <v>28.83</v>
      </c>
      <c r="H605" s="2">
        <v>46186</v>
      </c>
      <c r="I605" s="15">
        <f ca="1">TODAY()-Base_Relatório[[#This Row],[Plantio]]</f>
        <v>53</v>
      </c>
      <c r="K605" s="14">
        <v>46306</v>
      </c>
      <c r="L605" s="14" t="s">
        <v>189</v>
      </c>
      <c r="M605" s="3"/>
      <c r="N605" s="4"/>
      <c r="O605" s="5" t="s">
        <v>21</v>
      </c>
      <c r="P605" s="5" t="s">
        <v>21</v>
      </c>
      <c r="Q605" s="5" t="s">
        <v>21</v>
      </c>
      <c r="R605" s="2"/>
      <c r="S605" s="5" t="s">
        <v>127</v>
      </c>
    </row>
    <row r="606" spans="2:19" x14ac:dyDescent="0.35">
      <c r="B606" s="5" t="s">
        <v>21</v>
      </c>
      <c r="C606" s="1">
        <v>341</v>
      </c>
      <c r="D606" s="5" t="s">
        <v>178</v>
      </c>
      <c r="E606" s="5" t="s">
        <v>48</v>
      </c>
      <c r="F606" s="6">
        <v>11.28</v>
      </c>
      <c r="H606" s="2">
        <v>46180</v>
      </c>
      <c r="I606" s="15">
        <f ca="1">TODAY()-Base_Relatório[[#This Row],[Plantio]]</f>
        <v>59</v>
      </c>
      <c r="K606" s="14">
        <v>46300</v>
      </c>
      <c r="L606" s="14" t="s">
        <v>189</v>
      </c>
      <c r="M606" s="3"/>
      <c r="N606" s="4"/>
      <c r="O606" s="5" t="s">
        <v>21</v>
      </c>
      <c r="P606" s="5" t="s">
        <v>21</v>
      </c>
      <c r="Q606" s="5" t="s">
        <v>21</v>
      </c>
      <c r="R606" s="2"/>
      <c r="S606" s="5" t="s">
        <v>127</v>
      </c>
    </row>
    <row r="607" spans="2:19" x14ac:dyDescent="0.35">
      <c r="B607" s="5" t="s">
        <v>21</v>
      </c>
      <c r="C607" s="1">
        <v>341</v>
      </c>
      <c r="D607" s="5" t="s">
        <v>178</v>
      </c>
      <c r="E607" s="5" t="s">
        <v>32</v>
      </c>
      <c r="F607" s="6">
        <v>22.27</v>
      </c>
      <c r="H607" s="2">
        <v>46185</v>
      </c>
      <c r="I607" s="15">
        <f ca="1">TODAY()-Base_Relatório[[#This Row],[Plantio]]</f>
        <v>54</v>
      </c>
      <c r="K607" s="14">
        <v>46305</v>
      </c>
      <c r="L607" s="14" t="s">
        <v>189</v>
      </c>
      <c r="M607" s="3"/>
      <c r="N607" s="4"/>
      <c r="O607" s="5" t="s">
        <v>21</v>
      </c>
      <c r="P607" s="5" t="s">
        <v>21</v>
      </c>
      <c r="Q607" s="5" t="s">
        <v>21</v>
      </c>
      <c r="R607" s="2"/>
      <c r="S607" s="5" t="s">
        <v>127</v>
      </c>
    </row>
    <row r="608" spans="2:19" x14ac:dyDescent="0.35">
      <c r="B608" s="5" t="s">
        <v>21</v>
      </c>
      <c r="C608" s="1">
        <v>341</v>
      </c>
      <c r="D608" s="5" t="s">
        <v>178</v>
      </c>
      <c r="E608" s="5" t="s">
        <v>26</v>
      </c>
      <c r="F608" s="6">
        <v>28.46</v>
      </c>
      <c r="H608" s="2">
        <v>46182</v>
      </c>
      <c r="I608" s="15">
        <f ca="1">TODAY()-Base_Relatório[[#This Row],[Plantio]]</f>
        <v>57</v>
      </c>
      <c r="K608" s="14">
        <v>46302</v>
      </c>
      <c r="L608" s="14" t="s">
        <v>189</v>
      </c>
      <c r="M608" s="3"/>
      <c r="N608" s="4"/>
      <c r="O608" s="5" t="s">
        <v>21</v>
      </c>
      <c r="P608" s="5" t="s">
        <v>21</v>
      </c>
      <c r="Q608" s="5" t="s">
        <v>21</v>
      </c>
      <c r="R608" s="2"/>
      <c r="S608" s="5" t="s">
        <v>127</v>
      </c>
    </row>
    <row r="609" spans="2:19" x14ac:dyDescent="0.35">
      <c r="B609" s="5" t="s">
        <v>21</v>
      </c>
      <c r="C609" s="1">
        <v>341</v>
      </c>
      <c r="D609" s="5" t="s">
        <v>178</v>
      </c>
      <c r="E609" s="5" t="s">
        <v>52</v>
      </c>
      <c r="F609" s="6">
        <v>43.63</v>
      </c>
      <c r="H609" s="2">
        <v>46177</v>
      </c>
      <c r="I609" s="15">
        <f ca="1">TODAY()-Base_Relatório[[#This Row],[Plantio]]</f>
        <v>62</v>
      </c>
      <c r="K609" s="14">
        <v>46297</v>
      </c>
      <c r="L609" s="14" t="s">
        <v>189</v>
      </c>
      <c r="M609" s="3"/>
      <c r="N609" s="4"/>
      <c r="O609" s="5" t="s">
        <v>21</v>
      </c>
      <c r="P609" s="5" t="s">
        <v>21</v>
      </c>
      <c r="Q609" s="5" t="s">
        <v>21</v>
      </c>
      <c r="R609" s="2"/>
      <c r="S609" s="5" t="s">
        <v>127</v>
      </c>
    </row>
    <row r="610" spans="2:19" x14ac:dyDescent="0.35">
      <c r="B610" s="5" t="s">
        <v>21</v>
      </c>
      <c r="C610" s="1">
        <v>341</v>
      </c>
      <c r="D610" s="5" t="s">
        <v>178</v>
      </c>
      <c r="E610" s="5" t="s">
        <v>57</v>
      </c>
      <c r="F610" s="6">
        <v>48.32</v>
      </c>
      <c r="H610" s="2">
        <v>46173</v>
      </c>
      <c r="I610" s="15">
        <f ca="1">TODAY()-Base_Relatório[[#This Row],[Plantio]]</f>
        <v>66</v>
      </c>
      <c r="K610" s="14">
        <v>46293</v>
      </c>
      <c r="L610" s="14" t="s">
        <v>189</v>
      </c>
      <c r="M610" s="3"/>
      <c r="N610" s="4"/>
      <c r="O610" s="5" t="s">
        <v>21</v>
      </c>
      <c r="P610" s="5" t="s">
        <v>21</v>
      </c>
      <c r="Q610" s="5" t="s">
        <v>21</v>
      </c>
      <c r="R610" s="2"/>
      <c r="S610" s="5" t="s">
        <v>127</v>
      </c>
    </row>
    <row r="611" spans="2:19" x14ac:dyDescent="0.35">
      <c r="B611" s="5" t="s">
        <v>21</v>
      </c>
      <c r="C611" s="1">
        <v>341</v>
      </c>
      <c r="D611" s="5" t="s">
        <v>178</v>
      </c>
      <c r="E611" s="5" t="s">
        <v>84</v>
      </c>
      <c r="F611" s="6">
        <v>49.31</v>
      </c>
      <c r="H611" s="2">
        <v>46169</v>
      </c>
      <c r="I611" s="15">
        <f ca="1">TODAY()-Base_Relatório[[#This Row],[Plantio]]</f>
        <v>70</v>
      </c>
      <c r="K611" s="14">
        <v>46289</v>
      </c>
      <c r="L611" s="14" t="s">
        <v>189</v>
      </c>
      <c r="M611" s="3"/>
      <c r="N611" s="4"/>
      <c r="O611" s="5" t="s">
        <v>21</v>
      </c>
      <c r="P611" s="5" t="s">
        <v>21</v>
      </c>
      <c r="Q611" s="5" t="s">
        <v>21</v>
      </c>
      <c r="R611" s="2"/>
      <c r="S611" s="5" t="s">
        <v>127</v>
      </c>
    </row>
    <row r="612" spans="2:19" x14ac:dyDescent="0.35">
      <c r="B612" s="5" t="s">
        <v>21</v>
      </c>
      <c r="C612" s="1">
        <v>341</v>
      </c>
      <c r="D612" s="5" t="s">
        <v>178</v>
      </c>
      <c r="E612" s="5" t="s">
        <v>33</v>
      </c>
      <c r="F612" s="6">
        <v>24.27</v>
      </c>
      <c r="H612" s="2">
        <v>46179</v>
      </c>
      <c r="I612" s="15">
        <f ca="1">TODAY()-Base_Relatório[[#This Row],[Plantio]]</f>
        <v>60</v>
      </c>
      <c r="K612" s="14">
        <v>46299</v>
      </c>
      <c r="L612" s="14" t="s">
        <v>189</v>
      </c>
      <c r="M612" s="3"/>
      <c r="N612" s="4"/>
      <c r="O612" s="5" t="s">
        <v>21</v>
      </c>
      <c r="P612" s="5" t="s">
        <v>21</v>
      </c>
      <c r="Q612" s="5" t="s">
        <v>21</v>
      </c>
      <c r="R612" s="2"/>
      <c r="S612" s="5" t="s">
        <v>127</v>
      </c>
    </row>
    <row r="613" spans="2:19" x14ac:dyDescent="0.35">
      <c r="B613" s="5" t="s">
        <v>21</v>
      </c>
      <c r="C613" s="1">
        <v>355</v>
      </c>
      <c r="D613" s="5" t="s">
        <v>179</v>
      </c>
      <c r="E613" s="5" t="s">
        <v>56</v>
      </c>
      <c r="F613" s="6">
        <v>21.97</v>
      </c>
      <c r="H613" s="2">
        <v>46188</v>
      </c>
      <c r="I613" s="15">
        <f ca="1">TODAY()-Base_Relatório[[#This Row],[Plantio]]</f>
        <v>51</v>
      </c>
      <c r="K613" s="14">
        <v>46308</v>
      </c>
      <c r="L613" s="14" t="s">
        <v>189</v>
      </c>
      <c r="M613" s="3"/>
      <c r="N613" s="4"/>
      <c r="O613" s="5" t="s">
        <v>21</v>
      </c>
      <c r="P613" s="5" t="s">
        <v>21</v>
      </c>
      <c r="Q613" s="5" t="s">
        <v>21</v>
      </c>
      <c r="R613" s="2"/>
      <c r="S613" s="5" t="s">
        <v>127</v>
      </c>
    </row>
    <row r="614" spans="2:19" hidden="1" x14ac:dyDescent="0.35">
      <c r="B614" s="5" t="s">
        <v>123</v>
      </c>
      <c r="C614" s="1">
        <v>200</v>
      </c>
      <c r="D614" s="5" t="s">
        <v>10</v>
      </c>
      <c r="E614" s="5" t="s">
        <v>92</v>
      </c>
      <c r="F614" s="6">
        <v>36.979999999999997</v>
      </c>
      <c r="G614" s="1">
        <v>37.450000000000003</v>
      </c>
      <c r="H614" s="2">
        <v>45999</v>
      </c>
      <c r="I614" s="15">
        <f ca="1">TODAY()-Base_Relatório[[#This Row],[Plantio]]</f>
        <v>240</v>
      </c>
      <c r="J614" s="2">
        <v>46160</v>
      </c>
      <c r="K614" s="14"/>
      <c r="L614" s="14"/>
      <c r="M614" s="3">
        <v>1095.8333333333333</v>
      </c>
      <c r="N614" s="4">
        <v>0.22400626322229572</v>
      </c>
      <c r="O614" s="5" t="s">
        <v>157</v>
      </c>
      <c r="P614" s="5" t="s">
        <v>12</v>
      </c>
      <c r="Q614" s="5" t="s">
        <v>158</v>
      </c>
      <c r="R614" s="2"/>
      <c r="S614" s="5" t="s">
        <v>126</v>
      </c>
    </row>
    <row r="615" spans="2:19" hidden="1" x14ac:dyDescent="0.35">
      <c r="B615" s="5" t="s">
        <v>123</v>
      </c>
      <c r="C615" s="1">
        <v>200</v>
      </c>
      <c r="D615" s="5" t="s">
        <v>10</v>
      </c>
      <c r="E615" s="5" t="s">
        <v>76</v>
      </c>
      <c r="F615" s="6">
        <v>49.72</v>
      </c>
      <c r="H615" s="2">
        <v>46111</v>
      </c>
      <c r="I615" s="15">
        <f ca="1">TODAY()-Base_Relatório[[#This Row],[Plantio]]</f>
        <v>128</v>
      </c>
      <c r="J615" s="2">
        <v>46217</v>
      </c>
      <c r="K615" s="14"/>
      <c r="L615" s="14"/>
      <c r="M615" s="3"/>
      <c r="N615" s="4">
        <v>0.20799771938098524</v>
      </c>
      <c r="O615" s="5" t="s">
        <v>157</v>
      </c>
      <c r="P615" s="5" t="s">
        <v>21</v>
      </c>
      <c r="Q615" s="5" t="s">
        <v>158</v>
      </c>
      <c r="R615" s="2"/>
      <c r="S615" s="5" t="s">
        <v>126</v>
      </c>
    </row>
    <row r="616" spans="2:19" hidden="1" x14ac:dyDescent="0.35">
      <c r="B616" s="5" t="s">
        <v>123</v>
      </c>
      <c r="C616" s="1">
        <v>200</v>
      </c>
      <c r="D616" s="5" t="s">
        <v>10</v>
      </c>
      <c r="E616" s="5" t="s">
        <v>77</v>
      </c>
      <c r="F616" s="6">
        <v>50.1</v>
      </c>
      <c r="G616" s="1">
        <v>48.08</v>
      </c>
      <c r="H616" s="2">
        <v>46100</v>
      </c>
      <c r="I616" s="15">
        <f ca="1">TODAY()-Base_Relatório[[#This Row],[Plantio]]</f>
        <v>139</v>
      </c>
      <c r="J616" s="2">
        <v>46217</v>
      </c>
      <c r="K616" s="14"/>
      <c r="L616" s="14"/>
      <c r="M616" s="3">
        <v>1117.6470588235295</v>
      </c>
      <c r="N616" s="4">
        <v>0.23122120937814025</v>
      </c>
      <c r="O616" s="5" t="s">
        <v>157</v>
      </c>
      <c r="P616" s="5" t="s">
        <v>9</v>
      </c>
      <c r="Q616" s="5" t="s">
        <v>158</v>
      </c>
      <c r="R616" s="2"/>
      <c r="S616" s="5" t="s">
        <v>126</v>
      </c>
    </row>
    <row r="617" spans="2:19" x14ac:dyDescent="0.35">
      <c r="B617" s="5" t="s">
        <v>123</v>
      </c>
      <c r="C617" s="1">
        <v>205</v>
      </c>
      <c r="D617" s="5" t="s">
        <v>82</v>
      </c>
      <c r="E617" s="5" t="s">
        <v>56</v>
      </c>
      <c r="F617" s="6">
        <v>58.19</v>
      </c>
      <c r="G617" s="1">
        <v>59.64</v>
      </c>
      <c r="H617" s="2">
        <v>46080</v>
      </c>
      <c r="I617" s="15">
        <f ca="1">TODAY()-Base_Relatório[[#This Row],[Plantio]]</f>
        <v>159</v>
      </c>
      <c r="J617" s="2">
        <v>46227</v>
      </c>
      <c r="K617" s="14"/>
      <c r="L617" s="14"/>
      <c r="M617" s="3">
        <v>1079.7619047619048</v>
      </c>
      <c r="N617" s="4">
        <v>0.19993298066388554</v>
      </c>
      <c r="O617" s="5" t="s">
        <v>156</v>
      </c>
      <c r="P617" s="5" t="s">
        <v>12</v>
      </c>
      <c r="Q617" s="5" t="s">
        <v>15</v>
      </c>
      <c r="R617" s="2"/>
      <c r="S617" s="5" t="s">
        <v>127</v>
      </c>
    </row>
    <row r="618" spans="2:19" hidden="1" x14ac:dyDescent="0.35">
      <c r="B618" s="5" t="s">
        <v>123</v>
      </c>
      <c r="C618" s="1">
        <v>295</v>
      </c>
      <c r="D618" s="5" t="s">
        <v>98</v>
      </c>
      <c r="E618" s="5" t="s">
        <v>91</v>
      </c>
      <c r="F618" s="6">
        <v>6.69</v>
      </c>
      <c r="G618" s="1">
        <v>6.34</v>
      </c>
      <c r="H618" s="2">
        <v>46007</v>
      </c>
      <c r="I618" s="15">
        <f ca="1">TODAY()-Base_Relatório[[#This Row],[Plantio]]</f>
        <v>232</v>
      </c>
      <c r="J618" s="2">
        <v>46231</v>
      </c>
      <c r="K618" s="14"/>
      <c r="L618" s="14"/>
      <c r="M618" s="3">
        <v>975</v>
      </c>
      <c r="N618" s="4">
        <v>0.24558784914142504</v>
      </c>
      <c r="O618" s="5" t="s">
        <v>157</v>
      </c>
      <c r="P618" s="5" t="s">
        <v>12</v>
      </c>
      <c r="Q618" s="5" t="s">
        <v>158</v>
      </c>
      <c r="R618" s="2"/>
      <c r="S618" s="5" t="s">
        <v>126</v>
      </c>
    </row>
    <row r="619" spans="2:19" hidden="1" x14ac:dyDescent="0.35">
      <c r="B619" s="5" t="s">
        <v>123</v>
      </c>
      <c r="C619" s="1">
        <v>471</v>
      </c>
      <c r="D619" s="5" t="s">
        <v>16</v>
      </c>
      <c r="E619" s="5" t="s">
        <v>46</v>
      </c>
      <c r="F619" s="6">
        <v>28.93</v>
      </c>
      <c r="G619" s="1">
        <v>28.58</v>
      </c>
      <c r="H619" s="2">
        <v>46000</v>
      </c>
      <c r="I619" s="15">
        <f ca="1">TODAY()-Base_Relatório[[#This Row],[Plantio]]</f>
        <v>239</v>
      </c>
      <c r="J619" s="2">
        <v>46154</v>
      </c>
      <c r="K619" s="14"/>
      <c r="L619" s="14"/>
      <c r="M619" s="3">
        <v>1252.7777777777778</v>
      </c>
      <c r="N619" s="4">
        <v>0.1744554583208742</v>
      </c>
      <c r="O619" s="5" t="s">
        <v>156</v>
      </c>
      <c r="P619" s="5" t="s">
        <v>18</v>
      </c>
      <c r="Q619" s="5" t="s">
        <v>15</v>
      </c>
      <c r="R619" s="2"/>
      <c r="S619" s="5" t="s">
        <v>126</v>
      </c>
    </row>
    <row r="620" spans="2:19" hidden="1" x14ac:dyDescent="0.35">
      <c r="B620" s="5" t="s">
        <v>123</v>
      </c>
      <c r="C620" s="1">
        <v>471</v>
      </c>
      <c r="D620" s="5" t="s">
        <v>16</v>
      </c>
      <c r="E620" s="5" t="s">
        <v>56</v>
      </c>
      <c r="F620" s="6">
        <v>39.28</v>
      </c>
      <c r="G620" s="1">
        <v>38.89</v>
      </c>
      <c r="H620" s="2">
        <v>46002</v>
      </c>
      <c r="I620" s="15">
        <f ca="1">TODAY()-Base_Relatório[[#This Row],[Plantio]]</f>
        <v>237</v>
      </c>
      <c r="J620" s="2">
        <v>46154</v>
      </c>
      <c r="K620" s="14"/>
      <c r="L620" s="14"/>
      <c r="M620" s="3">
        <v>1125</v>
      </c>
      <c r="N620" s="4">
        <v>0.20995644250754339</v>
      </c>
      <c r="O620" s="5" t="s">
        <v>157</v>
      </c>
      <c r="P620" s="5" t="s">
        <v>9</v>
      </c>
      <c r="Q620" s="5" t="s">
        <v>158</v>
      </c>
      <c r="R620" s="2"/>
      <c r="S620" s="5" t="s">
        <v>126</v>
      </c>
    </row>
    <row r="621" spans="2:19" hidden="1" x14ac:dyDescent="0.35">
      <c r="B621" s="5" t="s">
        <v>123</v>
      </c>
      <c r="C621" s="1">
        <v>471</v>
      </c>
      <c r="D621" s="5" t="s">
        <v>16</v>
      </c>
      <c r="E621" s="5" t="s">
        <v>27</v>
      </c>
      <c r="F621" s="6">
        <v>17.12</v>
      </c>
      <c r="G621" s="1">
        <v>16.62</v>
      </c>
      <c r="H621" s="2">
        <v>46007</v>
      </c>
      <c r="I621" s="15">
        <f ca="1">TODAY()-Base_Relatório[[#This Row],[Plantio]]</f>
        <v>232</v>
      </c>
      <c r="J621" s="2">
        <v>46154</v>
      </c>
      <c r="K621" s="14"/>
      <c r="L621" s="14"/>
      <c r="M621" s="3">
        <v>1065</v>
      </c>
      <c r="N621" s="4">
        <v>0.20690129416781494</v>
      </c>
      <c r="O621" s="5" t="s">
        <v>157</v>
      </c>
      <c r="P621" s="5" t="s">
        <v>12</v>
      </c>
      <c r="Q621" s="5" t="s">
        <v>158</v>
      </c>
      <c r="R621" s="2"/>
      <c r="S621" s="5" t="s">
        <v>126</v>
      </c>
    </row>
    <row r="622" spans="2:19" hidden="1" x14ac:dyDescent="0.35">
      <c r="B622" s="5" t="s">
        <v>123</v>
      </c>
      <c r="C622" s="1">
        <v>761</v>
      </c>
      <c r="D622" s="5" t="s">
        <v>120</v>
      </c>
      <c r="E622" s="5" t="s">
        <v>32</v>
      </c>
      <c r="F622" s="6">
        <v>12.48</v>
      </c>
      <c r="H622" s="2">
        <v>46118</v>
      </c>
      <c r="I622" s="15">
        <f ca="1">TODAY()-Base_Relatório[[#This Row],[Plantio]]</f>
        <v>121</v>
      </c>
      <c r="J622" s="2">
        <v>46232</v>
      </c>
      <c r="K622" s="14"/>
      <c r="L622" s="14"/>
      <c r="M622" s="3"/>
      <c r="N622" s="4"/>
      <c r="O622" s="5" t="s">
        <v>21</v>
      </c>
      <c r="P622" s="5" t="s">
        <v>21</v>
      </c>
      <c r="Q622" s="5" t="s">
        <v>21</v>
      </c>
      <c r="R622" s="2"/>
      <c r="S622" s="5" t="s">
        <v>128</v>
      </c>
    </row>
    <row r="623" spans="2:19" hidden="1" x14ac:dyDescent="0.35">
      <c r="B623" s="5"/>
      <c r="D623" s="5"/>
      <c r="E623" s="5"/>
      <c r="H623" s="2"/>
      <c r="I623" s="15">
        <f ca="1">TODAY()-Base_Relatório[[#This Row],[Plantio]]</f>
        <v>46239</v>
      </c>
      <c r="K623" s="14"/>
      <c r="L623" s="14"/>
      <c r="M623" s="3"/>
      <c r="N623" s="4"/>
      <c r="O623" s="5"/>
      <c r="P623" s="5"/>
      <c r="Q623" s="5"/>
      <c r="R623" s="2"/>
      <c r="S623" s="5"/>
    </row>
    <row r="624" spans="2:19" hidden="1" x14ac:dyDescent="0.35">
      <c r="B624" s="5"/>
      <c r="D624" s="5"/>
      <c r="E624" s="5"/>
      <c r="H624" s="2"/>
      <c r="I624" s="15">
        <f ca="1">TODAY()-Base_Relatório[[#This Row],[Plantio]]</f>
        <v>46239</v>
      </c>
      <c r="K624" s="14"/>
      <c r="L624" s="14"/>
      <c r="M624" s="3"/>
      <c r="N624" s="4"/>
      <c r="O624" s="5"/>
      <c r="P624" s="5"/>
      <c r="Q624" s="5"/>
      <c r="R624" s="2"/>
      <c r="S624" s="5"/>
    </row>
    <row r="625" spans="2:21" x14ac:dyDescent="0.35">
      <c r="B625" s="5"/>
      <c r="D625" s="5"/>
      <c r="E625" s="5"/>
      <c r="H625" s="2"/>
      <c r="M625" s="5"/>
      <c r="N625" s="5"/>
      <c r="O625" s="5"/>
      <c r="P625" s="2"/>
      <c r="Q625" s="5"/>
      <c r="R625" s="5"/>
      <c r="S625" s="5"/>
      <c r="T625" s="5"/>
      <c r="U625" s="5"/>
    </row>
    <row r="626" spans="2:21" x14ac:dyDescent="0.35">
      <c r="B626" s="5"/>
      <c r="D626" s="5"/>
      <c r="E626" s="5"/>
      <c r="H626" s="2"/>
      <c r="M626" s="5"/>
      <c r="N626" s="5"/>
      <c r="O626" s="5"/>
      <c r="P626" s="2"/>
      <c r="Q626" s="5"/>
      <c r="R626" s="5"/>
      <c r="S626" s="5"/>
      <c r="T626" s="5"/>
      <c r="U626" s="5"/>
    </row>
    <row r="627" spans="2:21" x14ac:dyDescent="0.35">
      <c r="B627" s="5"/>
      <c r="D627" s="5"/>
      <c r="E627" s="5"/>
      <c r="H627" s="2"/>
      <c r="M627" s="5"/>
      <c r="N627" s="5"/>
      <c r="O627" s="5"/>
      <c r="P627" s="2"/>
      <c r="Q627" s="5"/>
      <c r="R627" s="5"/>
      <c r="S627" s="5"/>
      <c r="T627" s="5"/>
      <c r="U627" s="5"/>
    </row>
    <row r="628" spans="2:21" x14ac:dyDescent="0.35">
      <c r="B628" s="5"/>
      <c r="D628" s="5"/>
      <c r="E628" s="5"/>
      <c r="H628" s="2"/>
      <c r="M628" s="5"/>
      <c r="N628" s="5"/>
      <c r="O628" s="5"/>
      <c r="P628" s="2"/>
      <c r="Q628" s="5"/>
      <c r="R628" s="5"/>
      <c r="S628" s="5"/>
      <c r="T628" s="5"/>
      <c r="U628" s="5"/>
    </row>
    <row r="629" spans="2:21" x14ac:dyDescent="0.35">
      <c r="B629" s="5"/>
      <c r="D629" s="5"/>
      <c r="E629" s="5"/>
      <c r="H629" s="2"/>
      <c r="M629" s="5"/>
      <c r="N629" s="5"/>
      <c r="O629" s="5"/>
      <c r="P629" s="2"/>
      <c r="Q629" s="5"/>
      <c r="R629" s="5"/>
      <c r="S629" s="5"/>
      <c r="T629" s="5"/>
      <c r="U629" s="5"/>
    </row>
    <row r="630" spans="2:21" x14ac:dyDescent="0.35">
      <c r="B630" s="5"/>
      <c r="D630" s="5"/>
      <c r="E630" s="5"/>
      <c r="H630" s="2"/>
      <c r="M630" s="5"/>
      <c r="N630" s="5"/>
      <c r="O630" s="5"/>
      <c r="P630" s="2"/>
      <c r="Q630" s="5"/>
      <c r="R630" s="5"/>
      <c r="S630" s="5"/>
      <c r="T630" s="5"/>
      <c r="U630" s="5"/>
    </row>
    <row r="631" spans="2:21" x14ac:dyDescent="0.35">
      <c r="B631" s="5"/>
      <c r="D631" s="5"/>
      <c r="E631" s="5"/>
      <c r="H631" s="2"/>
      <c r="M631" s="5"/>
      <c r="N631" s="5"/>
      <c r="O631" s="5"/>
      <c r="P631" s="2"/>
      <c r="Q631" s="5"/>
      <c r="R631" s="5"/>
      <c r="S631" s="5"/>
      <c r="T631" s="5"/>
      <c r="U631" s="5"/>
    </row>
    <row r="632" spans="2:21" x14ac:dyDescent="0.35">
      <c r="B632" s="5"/>
      <c r="D632" s="5"/>
      <c r="E632" s="5"/>
      <c r="H632" s="2"/>
      <c r="M632" s="5"/>
      <c r="N632" s="5"/>
      <c r="O632" s="5"/>
      <c r="P632" s="2"/>
      <c r="Q632" s="5"/>
      <c r="R632" s="5"/>
      <c r="S632" s="5"/>
      <c r="T632" s="5"/>
      <c r="U632" s="5"/>
    </row>
    <row r="633" spans="2:21" x14ac:dyDescent="0.35">
      <c r="B633" s="5"/>
      <c r="D633" s="5"/>
      <c r="E633" s="5"/>
      <c r="H633" s="2"/>
      <c r="M633" s="5"/>
      <c r="N633" s="5"/>
      <c r="O633" s="5"/>
      <c r="P633" s="2"/>
      <c r="Q633" s="5"/>
      <c r="R633" s="5"/>
      <c r="S633" s="5"/>
      <c r="T633" s="5"/>
      <c r="U633" s="5"/>
    </row>
    <row r="634" spans="2:21" x14ac:dyDescent="0.35">
      <c r="B634" s="5"/>
      <c r="D634" s="5"/>
      <c r="E634" s="5"/>
      <c r="H634" s="2"/>
      <c r="M634" s="5"/>
      <c r="N634" s="5"/>
      <c r="O634" s="5"/>
      <c r="P634" s="2"/>
      <c r="Q634" s="5"/>
      <c r="R634" s="5"/>
      <c r="S634" s="5"/>
      <c r="T634" s="5"/>
      <c r="U634" s="5"/>
    </row>
    <row r="635" spans="2:21" x14ac:dyDescent="0.35">
      <c r="B635" s="5"/>
      <c r="D635" s="5"/>
      <c r="E635" s="5"/>
      <c r="H635" s="2"/>
      <c r="M635" s="5"/>
      <c r="N635" s="5"/>
      <c r="O635" s="5"/>
      <c r="P635" s="2"/>
      <c r="Q635" s="5"/>
      <c r="R635" s="5"/>
      <c r="S635" s="5"/>
      <c r="T635" s="5"/>
      <c r="U635" s="5"/>
    </row>
    <row r="636" spans="2:21" x14ac:dyDescent="0.35">
      <c r="B636" s="5"/>
      <c r="D636" s="5"/>
      <c r="E636" s="5"/>
      <c r="H636" s="2"/>
      <c r="M636" s="5"/>
      <c r="N636" s="5"/>
      <c r="O636" s="5"/>
      <c r="P636" s="2"/>
      <c r="Q636" s="5"/>
      <c r="R636" s="5"/>
      <c r="S636" s="5"/>
      <c r="T636" s="5"/>
      <c r="U636" s="5"/>
    </row>
    <row r="637" spans="2:21" x14ac:dyDescent="0.35">
      <c r="B637" s="5"/>
      <c r="D637" s="5"/>
      <c r="E637" s="5"/>
      <c r="H637" s="2"/>
      <c r="M637" s="5"/>
      <c r="N637" s="5"/>
      <c r="O637" s="5"/>
      <c r="P637" s="2"/>
      <c r="Q637" s="5"/>
      <c r="R637" s="5"/>
      <c r="S637" s="5"/>
      <c r="T637" s="5"/>
      <c r="U637" s="5"/>
    </row>
    <row r="638" spans="2:21" x14ac:dyDescent="0.35">
      <c r="B638" s="5"/>
      <c r="D638" s="5"/>
      <c r="E638" s="5"/>
      <c r="H638" s="2"/>
      <c r="M638" s="5"/>
      <c r="N638" s="5"/>
      <c r="O638" s="5"/>
      <c r="P638" s="2"/>
      <c r="Q638" s="5"/>
      <c r="R638" s="5"/>
      <c r="S638" s="5"/>
      <c r="T638" s="5"/>
      <c r="U638" s="5"/>
    </row>
    <row r="639" spans="2:21" x14ac:dyDescent="0.35">
      <c r="B639" s="5"/>
      <c r="D639" s="5"/>
      <c r="E639" s="5"/>
      <c r="H639" s="2"/>
      <c r="M639" s="5"/>
      <c r="N639" s="5"/>
      <c r="O639" s="5"/>
      <c r="P639" s="2"/>
      <c r="Q639" s="5"/>
      <c r="R639" s="5"/>
      <c r="S639" s="5"/>
      <c r="T639" s="5"/>
      <c r="U639" s="5"/>
    </row>
    <row r="640" spans="2:21" x14ac:dyDescent="0.35">
      <c r="B640" s="5"/>
      <c r="D640" s="5"/>
      <c r="E640" s="5"/>
      <c r="H640" s="2"/>
      <c r="M640" s="5"/>
      <c r="N640" s="5"/>
      <c r="O640" s="5"/>
      <c r="P640" s="2"/>
      <c r="Q640" s="5"/>
      <c r="R640" s="5"/>
      <c r="S640" s="5"/>
      <c r="T640" s="5"/>
      <c r="U640" s="5"/>
    </row>
    <row r="641" spans="2:21" x14ac:dyDescent="0.35">
      <c r="B641" s="5"/>
      <c r="D641" s="5"/>
      <c r="E641" s="5"/>
      <c r="H641" s="2"/>
      <c r="M641" s="5"/>
      <c r="N641" s="5"/>
      <c r="O641" s="5"/>
      <c r="P641" s="2"/>
      <c r="Q641" s="5"/>
      <c r="R641" s="5"/>
      <c r="S641" s="5"/>
      <c r="T641" s="5"/>
      <c r="U641" s="5"/>
    </row>
    <row r="642" spans="2:21" x14ac:dyDescent="0.35">
      <c r="B642" s="5"/>
      <c r="D642" s="5"/>
      <c r="E642" s="5"/>
      <c r="H642" s="2"/>
      <c r="M642" s="5"/>
      <c r="N642" s="5"/>
      <c r="O642" s="5"/>
      <c r="P642" s="2"/>
      <c r="Q642" s="5"/>
      <c r="R642" s="5"/>
      <c r="S642" s="5"/>
      <c r="T642" s="5"/>
      <c r="U642" s="5"/>
    </row>
    <row r="643" spans="2:21" x14ac:dyDescent="0.35">
      <c r="B643" s="5"/>
      <c r="D643" s="5"/>
      <c r="E643" s="5"/>
      <c r="H643" s="2"/>
      <c r="M643" s="5"/>
      <c r="N643" s="5"/>
      <c r="O643" s="5"/>
      <c r="P643" s="2"/>
      <c r="Q643" s="5"/>
      <c r="R643" s="5"/>
      <c r="S643" s="5"/>
      <c r="T643" s="5"/>
      <c r="U643" s="5"/>
    </row>
    <row r="644" spans="2:21" x14ac:dyDescent="0.35">
      <c r="B644" s="5"/>
      <c r="D644" s="5"/>
      <c r="E644" s="5"/>
      <c r="H644" s="2"/>
      <c r="M644" s="5"/>
      <c r="N644" s="5"/>
      <c r="O644" s="5"/>
      <c r="P644" s="2"/>
      <c r="Q644" s="5"/>
      <c r="R644" s="5"/>
      <c r="S644" s="5"/>
      <c r="T644" s="5"/>
      <c r="U644" s="5"/>
    </row>
    <row r="645" spans="2:21" x14ac:dyDescent="0.35">
      <c r="B645" s="5"/>
      <c r="D645" s="5"/>
      <c r="E645" s="5"/>
      <c r="H645" s="2"/>
      <c r="M645" s="5"/>
      <c r="N645" s="5"/>
      <c r="O645" s="5"/>
      <c r="P645" s="2"/>
      <c r="Q645" s="5"/>
      <c r="R645" s="5"/>
      <c r="S645" s="5"/>
      <c r="T645" s="5"/>
      <c r="U645" s="5"/>
    </row>
    <row r="646" spans="2:21" x14ac:dyDescent="0.35">
      <c r="B646" s="5"/>
      <c r="D646" s="5"/>
      <c r="E646" s="5"/>
      <c r="H646" s="2"/>
      <c r="M646" s="5"/>
      <c r="N646" s="5"/>
      <c r="O646" s="5"/>
      <c r="P646" s="2"/>
      <c r="Q646" s="5"/>
      <c r="R646" s="5"/>
      <c r="S646" s="5"/>
      <c r="T646" s="5"/>
      <c r="U646" s="5"/>
    </row>
    <row r="647" spans="2:21" x14ac:dyDescent="0.35">
      <c r="B647" s="5"/>
      <c r="D647" s="5"/>
      <c r="E647" s="5"/>
      <c r="H647" s="2"/>
      <c r="M647" s="5"/>
      <c r="N647" s="5"/>
      <c r="O647" s="5"/>
      <c r="P647" s="2"/>
      <c r="Q647" s="5"/>
      <c r="R647" s="5"/>
      <c r="S647" s="5"/>
      <c r="T647" s="5"/>
      <c r="U647" s="5"/>
    </row>
    <row r="648" spans="2:21" x14ac:dyDescent="0.35">
      <c r="B648" s="5"/>
      <c r="D648" s="5"/>
      <c r="E648" s="5"/>
      <c r="H648" s="2"/>
      <c r="M648" s="5"/>
      <c r="N648" s="5"/>
      <c r="O648" s="5"/>
      <c r="P648" s="2"/>
      <c r="Q648" s="5"/>
      <c r="R648" s="5"/>
      <c r="S648" s="5"/>
      <c r="T648" s="5"/>
      <c r="U648" s="5"/>
    </row>
    <row r="649" spans="2:21" x14ac:dyDescent="0.35">
      <c r="B649" s="5"/>
      <c r="D649" s="5"/>
      <c r="E649" s="5"/>
      <c r="H649" s="2"/>
      <c r="M649" s="5"/>
      <c r="N649" s="5"/>
      <c r="O649" s="5"/>
      <c r="P649" s="2"/>
      <c r="Q649" s="5"/>
      <c r="R649" s="5"/>
      <c r="S649" s="5"/>
      <c r="T649" s="5"/>
      <c r="U649" s="5"/>
    </row>
    <row r="650" spans="2:21" x14ac:dyDescent="0.35">
      <c r="B650" s="5"/>
      <c r="D650" s="5"/>
      <c r="E650" s="5"/>
      <c r="H650" s="2"/>
      <c r="M650" s="5"/>
      <c r="N650" s="5"/>
      <c r="O650" s="5"/>
      <c r="P650" s="2"/>
      <c r="Q650" s="5"/>
      <c r="R650" s="5"/>
      <c r="S650" s="5"/>
      <c r="T650" s="5"/>
      <c r="U650" s="5"/>
    </row>
    <row r="651" spans="2:21" x14ac:dyDescent="0.35">
      <c r="B651" s="5"/>
      <c r="D651" s="5"/>
      <c r="E651" s="5"/>
      <c r="H651" s="2"/>
      <c r="M651" s="5"/>
      <c r="N651" s="5"/>
      <c r="O651" s="5"/>
      <c r="P651" s="2"/>
      <c r="Q651" s="5"/>
      <c r="R651" s="5"/>
      <c r="S651" s="5"/>
      <c r="T651" s="5"/>
      <c r="U651" s="5"/>
    </row>
    <row r="652" spans="2:21" x14ac:dyDescent="0.35">
      <c r="B652" s="5"/>
      <c r="D652" s="5"/>
      <c r="E652" s="5"/>
      <c r="H652" s="2"/>
      <c r="M652" s="5"/>
      <c r="N652" s="5"/>
      <c r="O652" s="5"/>
      <c r="P652" s="2"/>
      <c r="Q652" s="5"/>
      <c r="R652" s="5"/>
      <c r="S652" s="5"/>
      <c r="T652" s="5"/>
      <c r="U652" s="5"/>
    </row>
    <row r="653" spans="2:21" x14ac:dyDescent="0.35">
      <c r="B653" s="5"/>
      <c r="D653" s="5"/>
      <c r="E653" s="5"/>
      <c r="H653" s="2"/>
      <c r="M653" s="5"/>
      <c r="N653" s="5"/>
      <c r="O653" s="5"/>
      <c r="P653" s="2"/>
      <c r="Q653" s="5"/>
      <c r="R653" s="5"/>
      <c r="S653" s="5"/>
      <c r="T653" s="5"/>
      <c r="U653" s="5"/>
    </row>
    <row r="654" spans="2:21" x14ac:dyDescent="0.35">
      <c r="B654" s="5"/>
      <c r="D654" s="5"/>
      <c r="E654" s="5"/>
      <c r="H654" s="2"/>
      <c r="M654" s="5"/>
      <c r="N654" s="5"/>
      <c r="O654" s="5"/>
      <c r="P654" s="2"/>
      <c r="Q654" s="5"/>
      <c r="R654" s="5"/>
      <c r="S654" s="5"/>
      <c r="T654" s="5"/>
      <c r="U654" s="5"/>
    </row>
    <row r="655" spans="2:21" x14ac:dyDescent="0.35">
      <c r="B655" s="5"/>
      <c r="D655" s="5"/>
      <c r="E655" s="5"/>
      <c r="H655" s="2"/>
      <c r="M655" s="5"/>
      <c r="N655" s="5"/>
      <c r="O655" s="5"/>
      <c r="P655" s="2"/>
      <c r="Q655" s="5"/>
      <c r="R655" s="5"/>
      <c r="S655" s="5"/>
      <c r="T655" s="5"/>
      <c r="U655" s="5"/>
    </row>
    <row r="656" spans="2:21" x14ac:dyDescent="0.35">
      <c r="B656" s="5"/>
      <c r="D656" s="5"/>
      <c r="E656" s="5"/>
      <c r="H656" s="2"/>
      <c r="M656" s="5"/>
      <c r="N656" s="5"/>
      <c r="O656" s="5"/>
      <c r="P656" s="2"/>
      <c r="Q656" s="5"/>
      <c r="R656" s="5"/>
      <c r="S656" s="5"/>
      <c r="T656" s="5"/>
      <c r="U656" s="5"/>
    </row>
    <row r="657" spans="2:21" x14ac:dyDescent="0.35">
      <c r="B657" s="5"/>
      <c r="D657" s="5"/>
      <c r="E657" s="5"/>
      <c r="H657" s="2"/>
      <c r="M657" s="5"/>
      <c r="N657" s="5"/>
      <c r="O657" s="5"/>
      <c r="P657" s="2"/>
      <c r="Q657" s="5"/>
      <c r="R657" s="5"/>
      <c r="S657" s="5"/>
      <c r="T657" s="5"/>
      <c r="U657" s="5"/>
    </row>
    <row r="658" spans="2:21" x14ac:dyDescent="0.35">
      <c r="B658" s="5"/>
      <c r="D658" s="5"/>
      <c r="E658" s="5"/>
      <c r="H658" s="2"/>
      <c r="M658" s="5"/>
      <c r="N658" s="5"/>
      <c r="O658" s="5"/>
      <c r="P658" s="2"/>
      <c r="Q658" s="5"/>
      <c r="R658" s="5"/>
      <c r="S658" s="5"/>
      <c r="T658" s="5"/>
      <c r="U658" s="5"/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4D5CDA-64D9-486D-87F2-34DE143825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Base Relatório</vt:lpstr>
    </vt:vector>
  </TitlesOfParts>
  <Company>Eldorado Brasil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Pereira de Carvalho Neto</dc:creator>
  <cp:lastModifiedBy>Paulo Henrique da Silva</cp:lastModifiedBy>
  <dcterms:created xsi:type="dcterms:W3CDTF">2026-06-03T01:39:35Z</dcterms:created>
  <dcterms:modified xsi:type="dcterms:W3CDTF">2026-08-05T11:21:57Z</dcterms:modified>
</cp:coreProperties>
</file>